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apex\000 - Análise de Investimentos\"/>
    </mc:Choice>
  </mc:AlternateContent>
  <xr:revisionPtr revIDLastSave="0" documentId="13_ncr:1_{61ECFD71-345A-43E2-8FFC-A580778EC554}" xr6:coauthVersionLast="47" xr6:coauthVersionMax="47" xr10:uidLastSave="{00000000-0000-0000-0000-000000000000}"/>
  <bookViews>
    <workbookView xWindow="-28920" yWindow="465" windowWidth="29040" windowHeight="15720" activeTab="3" xr2:uid="{A59792D4-CCEE-4678-9E95-8B4DB312BC38}"/>
  </bookViews>
  <sheets>
    <sheet name="1_RFQ_DadosVendas" sheetId="1" r:id="rId1"/>
    <sheet name="IP_WC" sheetId="17" state="hidden" r:id="rId2"/>
    <sheet name="2_LN_DadosExportados" sheetId="4" r:id="rId3"/>
    <sheet name="3_Industrial_Plan_Idash" sheetId="21" r:id="rId4"/>
    <sheet name="existencia de wc" sheetId="18" state="hidden" r:id="rId5"/>
    <sheet name="Resumo" sheetId="3" state="hidden" r:id="rId6"/>
    <sheet name="Maquinas" sheetId="5" state="hidden" r:id="rId7"/>
    <sheet name="Tambor- total Finish" sheetId="16" state="hidden" r:id="rId8"/>
    <sheet name="comp. Oster 1 e2" sheetId="12" state="hidden" r:id="rId9"/>
    <sheet name="Comp. Sacmi 1 e 2" sheetId="13" state="hidden" r:id="rId10"/>
    <sheet name="Sinter 1 e 2" sheetId="14" state="hidden" r:id="rId11"/>
    <sheet name="Snter 3" sheetId="15" state="hidden" r:id="rId12"/>
    <sheet name="comp" sheetId="6" state="hidden" r:id="rId13"/>
    <sheet name="tratamento termico" sheetId="7" state="hidden" r:id="rId14"/>
    <sheet name="Machining" sheetId="8" state="hidden" r:id="rId15"/>
    <sheet name="calibragem" sheetId="9" state="hidden" r:id="rId16"/>
    <sheet name="operações secundarias" sheetId="11" state="hidden" r:id="rId17"/>
  </sheets>
  <definedNames>
    <definedName name="_xlnm._FilterDatabase" localSheetId="0" hidden="1">'1_RFQ_DadosVendas'!$B$1:$K$3</definedName>
    <definedName name="_xlnm._FilterDatabase" localSheetId="2" hidden="1">'2_LN_DadosExportados'!$A$1:$AQ$21</definedName>
    <definedName name="_xlnm._FilterDatabase" localSheetId="3" hidden="1">'3_Industrial_Plan_Idash'!$A$2:$AQ$77</definedName>
    <definedName name="_xlnm._FilterDatabase" localSheetId="1" hidden="1">IP_WC!$A$2:$AG$78</definedName>
    <definedName name="_xlnm._FilterDatabase" localSheetId="6" hidden="1">Maquinas!$B$2:$C$29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0" i="21" l="1"/>
  <c r="S30" i="21" l="1"/>
  <c r="T30" i="21"/>
  <c r="T3" i="21" s="1"/>
  <c r="U30" i="21"/>
  <c r="V30" i="21"/>
  <c r="W30" i="21"/>
  <c r="X31" i="21"/>
  <c r="Y31" i="21"/>
  <c r="Z31" i="21"/>
  <c r="AA31" i="21"/>
  <c r="AB31" i="21"/>
  <c r="AC31" i="21"/>
  <c r="X32" i="21"/>
  <c r="Y32" i="21"/>
  <c r="Z32" i="21"/>
  <c r="AA32" i="21"/>
  <c r="AB32" i="21"/>
  <c r="AC32" i="21"/>
  <c r="V46" i="21" l="1"/>
  <c r="T46" i="21"/>
  <c r="U46" i="21"/>
  <c r="S46" i="21"/>
  <c r="R46" i="21"/>
  <c r="S32" i="21"/>
  <c r="T67" i="21"/>
  <c r="T64" i="21"/>
  <c r="S67" i="21"/>
  <c r="S64" i="21"/>
  <c r="T51" i="21"/>
  <c r="S51" i="21"/>
  <c r="T48" i="21"/>
  <c r="S48" i="21"/>
  <c r="T44" i="21"/>
  <c r="S44" i="21"/>
  <c r="T41" i="21"/>
  <c r="S41" i="21"/>
  <c r="T32" i="21"/>
  <c r="T28" i="21"/>
  <c r="S28" i="21"/>
  <c r="Y28" i="21"/>
  <c r="X28" i="21"/>
  <c r="K28" i="21" s="1"/>
  <c r="X48" i="21"/>
  <c r="Z21" i="21"/>
  <c r="L28" i="21" l="1"/>
  <c r="AP5" i="21"/>
  <c r="AP6" i="21"/>
  <c r="AP7" i="21"/>
  <c r="AP8" i="21"/>
  <c r="AP9" i="21"/>
  <c r="AP10" i="21"/>
  <c r="AP11" i="21"/>
  <c r="AP12" i="21"/>
  <c r="AP13" i="21"/>
  <c r="AP14" i="21"/>
  <c r="AP15" i="21"/>
  <c r="AP16" i="21"/>
  <c r="AP17" i="21"/>
  <c r="AP18" i="21"/>
  <c r="AP19" i="21"/>
  <c r="AP20" i="21"/>
  <c r="AP21" i="21"/>
  <c r="AP22" i="21"/>
  <c r="AP23" i="21"/>
  <c r="AP24" i="21"/>
  <c r="AP25" i="21"/>
  <c r="AP26" i="21"/>
  <c r="AP27" i="21"/>
  <c r="AP28" i="21"/>
  <c r="AP29" i="21"/>
  <c r="AP30" i="21"/>
  <c r="AP31" i="21"/>
  <c r="AP32" i="21"/>
  <c r="AP33" i="21"/>
  <c r="AP34" i="21"/>
  <c r="AP35" i="21"/>
  <c r="AP36" i="21"/>
  <c r="AP37" i="21"/>
  <c r="AP38" i="21"/>
  <c r="AP39" i="21"/>
  <c r="AP40" i="21"/>
  <c r="AP41" i="21"/>
  <c r="AP42" i="21"/>
  <c r="AP43" i="21"/>
  <c r="AP44" i="21"/>
  <c r="AP45" i="21"/>
  <c r="AP46" i="21"/>
  <c r="AP47" i="21"/>
  <c r="AP48" i="21"/>
  <c r="AP49" i="21"/>
  <c r="AP50" i="21"/>
  <c r="AP51" i="21"/>
  <c r="AP52" i="21"/>
  <c r="AP53" i="21"/>
  <c r="AP54" i="21"/>
  <c r="AP55" i="21"/>
  <c r="AP56" i="21"/>
  <c r="AP57" i="21"/>
  <c r="AP58" i="21"/>
  <c r="AP59" i="21"/>
  <c r="AP60" i="21"/>
  <c r="AP61" i="21"/>
  <c r="AP62" i="21"/>
  <c r="AP63" i="21"/>
  <c r="AP64" i="21"/>
  <c r="AP65" i="21"/>
  <c r="AP66" i="21"/>
  <c r="AP67" i="21"/>
  <c r="AP68" i="21"/>
  <c r="AP69" i="21"/>
  <c r="AP70" i="21"/>
  <c r="AP71" i="21"/>
  <c r="AP72" i="21"/>
  <c r="AP73" i="21"/>
  <c r="AP74" i="21"/>
  <c r="AP75" i="21"/>
  <c r="AP76" i="21"/>
  <c r="AP77" i="21"/>
  <c r="AP4" i="21"/>
  <c r="AP3" i="21"/>
  <c r="X5" i="21"/>
  <c r="K5" i="21" s="1"/>
  <c r="Y5" i="21"/>
  <c r="F5" i="21" s="1"/>
  <c r="Z5" i="21"/>
  <c r="M5" i="21" s="1"/>
  <c r="AA5" i="21"/>
  <c r="N5" i="21" s="1"/>
  <c r="AB5" i="21"/>
  <c r="O5" i="21" s="1"/>
  <c r="AC5" i="21"/>
  <c r="P5" i="21" s="1"/>
  <c r="X6" i="21"/>
  <c r="K6" i="21" s="1"/>
  <c r="Y6" i="21"/>
  <c r="L6" i="21" s="1"/>
  <c r="Z6" i="21"/>
  <c r="M6" i="21" s="1"/>
  <c r="AA6" i="21"/>
  <c r="H6" i="21" s="1"/>
  <c r="AB6" i="21"/>
  <c r="O6" i="21" s="1"/>
  <c r="AC6" i="21"/>
  <c r="J6" i="21" s="1"/>
  <c r="X7" i="21"/>
  <c r="E7" i="21" s="1"/>
  <c r="Y7" i="21"/>
  <c r="L7" i="21" s="1"/>
  <c r="Z7" i="21"/>
  <c r="G7" i="21" s="1"/>
  <c r="AA7" i="21"/>
  <c r="N7" i="21" s="1"/>
  <c r="AB7" i="21"/>
  <c r="I7" i="21" s="1"/>
  <c r="AC7" i="21"/>
  <c r="P7" i="21" s="1"/>
  <c r="X8" i="21"/>
  <c r="K8" i="21" s="1"/>
  <c r="Y8" i="21"/>
  <c r="F8" i="21" s="1"/>
  <c r="Z8" i="21"/>
  <c r="M8" i="21" s="1"/>
  <c r="AA8" i="21"/>
  <c r="N8" i="21" s="1"/>
  <c r="AB8" i="21"/>
  <c r="O8" i="21" s="1"/>
  <c r="AC8" i="21"/>
  <c r="P8" i="21" s="1"/>
  <c r="X9" i="21"/>
  <c r="K9" i="21" s="1"/>
  <c r="Y9" i="21"/>
  <c r="F9" i="21" s="1"/>
  <c r="Z9" i="21"/>
  <c r="M9" i="21" s="1"/>
  <c r="AA9" i="21"/>
  <c r="N9" i="21" s="1"/>
  <c r="AB9" i="21"/>
  <c r="O9" i="21" s="1"/>
  <c r="AC9" i="21"/>
  <c r="P9" i="21" s="1"/>
  <c r="X10" i="21"/>
  <c r="K10" i="21" s="1"/>
  <c r="Y10" i="21"/>
  <c r="L10" i="21" s="1"/>
  <c r="Z10" i="21"/>
  <c r="M10" i="21" s="1"/>
  <c r="AA10" i="21"/>
  <c r="N10" i="21" s="1"/>
  <c r="AB10" i="21"/>
  <c r="O10" i="21" s="1"/>
  <c r="AC10" i="21"/>
  <c r="J10" i="21" s="1"/>
  <c r="X11" i="21"/>
  <c r="E11" i="21" s="1"/>
  <c r="Y11" i="21"/>
  <c r="L11" i="21" s="1"/>
  <c r="Z11" i="21"/>
  <c r="M11" i="21" s="1"/>
  <c r="AA11" i="21"/>
  <c r="H11" i="21" s="1"/>
  <c r="AB11" i="21"/>
  <c r="I11" i="21" s="1"/>
  <c r="AC11" i="21"/>
  <c r="P11" i="21" s="1"/>
  <c r="X12" i="21"/>
  <c r="K12" i="21" s="1"/>
  <c r="Y12" i="21"/>
  <c r="F12" i="21" s="1"/>
  <c r="Z12" i="21"/>
  <c r="M12" i="21" s="1"/>
  <c r="AA12" i="21"/>
  <c r="N12" i="21" s="1"/>
  <c r="AB12" i="21"/>
  <c r="O12" i="21" s="1"/>
  <c r="AC12" i="21"/>
  <c r="P12" i="21" s="1"/>
  <c r="X13" i="21"/>
  <c r="K13" i="21" s="1"/>
  <c r="Y13" i="21"/>
  <c r="F13" i="21" s="1"/>
  <c r="Z13" i="21"/>
  <c r="G13" i="21" s="1"/>
  <c r="AA13" i="21"/>
  <c r="N13" i="21" s="1"/>
  <c r="AB13" i="21"/>
  <c r="O13" i="21" s="1"/>
  <c r="AC13" i="21"/>
  <c r="P13" i="21" s="1"/>
  <c r="X14" i="21"/>
  <c r="K14" i="21" s="1"/>
  <c r="Y14" i="21"/>
  <c r="L14" i="21" s="1"/>
  <c r="Z14" i="21"/>
  <c r="M14" i="21" s="1"/>
  <c r="AA14" i="21"/>
  <c r="N14" i="21" s="1"/>
  <c r="AB14" i="21"/>
  <c r="O14" i="21" s="1"/>
  <c r="AC14" i="21"/>
  <c r="P14" i="21" s="1"/>
  <c r="X15" i="21"/>
  <c r="K15" i="21" s="1"/>
  <c r="Y15" i="21"/>
  <c r="L15" i="21" s="1"/>
  <c r="Z15" i="21"/>
  <c r="M15" i="21" s="1"/>
  <c r="AA15" i="21"/>
  <c r="N15" i="21" s="1"/>
  <c r="AB15" i="21"/>
  <c r="I15" i="21" s="1"/>
  <c r="AC15" i="21"/>
  <c r="P15" i="21" s="1"/>
  <c r="X16" i="21"/>
  <c r="K16" i="21" s="1"/>
  <c r="Y16" i="21"/>
  <c r="F16" i="21" s="1"/>
  <c r="Z16" i="21"/>
  <c r="M16" i="21" s="1"/>
  <c r="AA16" i="21"/>
  <c r="N16" i="21" s="1"/>
  <c r="AB16" i="21"/>
  <c r="O16" i="21" s="1"/>
  <c r="AC16" i="21"/>
  <c r="P16" i="21" s="1"/>
  <c r="X17" i="21"/>
  <c r="K17" i="21" s="1"/>
  <c r="Y17" i="21"/>
  <c r="F17" i="21" s="1"/>
  <c r="Z17" i="21"/>
  <c r="M17" i="21" s="1"/>
  <c r="AA17" i="21"/>
  <c r="N17" i="21" s="1"/>
  <c r="AB17" i="21"/>
  <c r="O17" i="21" s="1"/>
  <c r="AC17" i="21"/>
  <c r="P17" i="21" s="1"/>
  <c r="X18" i="21"/>
  <c r="K18" i="21" s="1"/>
  <c r="Y18" i="21"/>
  <c r="F18" i="21" s="1"/>
  <c r="Z18" i="21"/>
  <c r="M18" i="21" s="1"/>
  <c r="AA18" i="21"/>
  <c r="N18" i="21" s="1"/>
  <c r="AB18" i="21"/>
  <c r="O18" i="21" s="1"/>
  <c r="AC18" i="21"/>
  <c r="P18" i="21" s="1"/>
  <c r="X19" i="21"/>
  <c r="E19" i="21" s="1"/>
  <c r="Y19" i="21"/>
  <c r="L19" i="21" s="1"/>
  <c r="Z19" i="21"/>
  <c r="M19" i="21" s="1"/>
  <c r="AA19" i="21"/>
  <c r="N19" i="21" s="1"/>
  <c r="AB19" i="21"/>
  <c r="I19" i="21" s="1"/>
  <c r="AC19" i="21"/>
  <c r="P19" i="21" s="1"/>
  <c r="X20" i="21"/>
  <c r="K20" i="21" s="1"/>
  <c r="Y20" i="21"/>
  <c r="F20" i="21" s="1"/>
  <c r="Z20" i="21"/>
  <c r="M20" i="21" s="1"/>
  <c r="AA20" i="21"/>
  <c r="N20" i="21" s="1"/>
  <c r="AB20" i="21"/>
  <c r="O20" i="21" s="1"/>
  <c r="AC20" i="21"/>
  <c r="P20" i="21" s="1"/>
  <c r="X21" i="21"/>
  <c r="K21" i="21" s="1"/>
  <c r="Y21" i="21"/>
  <c r="L21" i="21" s="1"/>
  <c r="M21" i="21"/>
  <c r="AA21" i="21"/>
  <c r="N21" i="21" s="1"/>
  <c r="AB21" i="21"/>
  <c r="O21" i="21" s="1"/>
  <c r="AC21" i="21"/>
  <c r="P21" i="21" s="1"/>
  <c r="X22" i="21"/>
  <c r="K22" i="21" s="1"/>
  <c r="Y22" i="21"/>
  <c r="L22" i="21" s="1"/>
  <c r="Z22" i="21"/>
  <c r="M22" i="21" s="1"/>
  <c r="AA22" i="21"/>
  <c r="N22" i="21" s="1"/>
  <c r="AB22" i="21"/>
  <c r="O22" i="21" s="1"/>
  <c r="AC22" i="21"/>
  <c r="P22" i="21" s="1"/>
  <c r="X23" i="21"/>
  <c r="K23" i="21" s="1"/>
  <c r="Y23" i="21"/>
  <c r="L23" i="21" s="1"/>
  <c r="Z23" i="21"/>
  <c r="M23" i="21" s="1"/>
  <c r="AA23" i="21"/>
  <c r="N23" i="21" s="1"/>
  <c r="AB23" i="21"/>
  <c r="O23" i="21" s="1"/>
  <c r="AC23" i="21"/>
  <c r="P23" i="21" s="1"/>
  <c r="X24" i="21"/>
  <c r="K24" i="21" s="1"/>
  <c r="Y24" i="21"/>
  <c r="F24" i="21" s="1"/>
  <c r="Z24" i="21"/>
  <c r="M24" i="21" s="1"/>
  <c r="AA24" i="21"/>
  <c r="N24" i="21" s="1"/>
  <c r="AB24" i="21"/>
  <c r="O24" i="21" s="1"/>
  <c r="AC24" i="21"/>
  <c r="P24" i="21" s="1"/>
  <c r="X25" i="21"/>
  <c r="K25" i="21" s="1"/>
  <c r="Y25" i="21"/>
  <c r="L25" i="21" s="1"/>
  <c r="Z25" i="21"/>
  <c r="M25" i="21" s="1"/>
  <c r="AA25" i="21"/>
  <c r="N25" i="21" s="1"/>
  <c r="AB25" i="21"/>
  <c r="O25" i="21" s="1"/>
  <c r="AC25" i="21"/>
  <c r="P25" i="21" s="1"/>
  <c r="X26" i="21"/>
  <c r="K26" i="21" s="1"/>
  <c r="Y26" i="21"/>
  <c r="L26" i="21" s="1"/>
  <c r="Z26" i="21"/>
  <c r="M26" i="21" s="1"/>
  <c r="AA26" i="21"/>
  <c r="N26" i="21" s="1"/>
  <c r="AB26" i="21"/>
  <c r="O26" i="21" s="1"/>
  <c r="AC26" i="21"/>
  <c r="P26" i="21" s="1"/>
  <c r="X27" i="21"/>
  <c r="K27" i="21" s="1"/>
  <c r="Y27" i="21"/>
  <c r="L27" i="21" s="1"/>
  <c r="Z27" i="21"/>
  <c r="M27" i="21" s="1"/>
  <c r="AA27" i="21"/>
  <c r="N27" i="21" s="1"/>
  <c r="AB27" i="21"/>
  <c r="AC27" i="21"/>
  <c r="P27" i="21" s="1"/>
  <c r="Z28" i="21"/>
  <c r="M28" i="21" s="1"/>
  <c r="AA28" i="21"/>
  <c r="N28" i="21" s="1"/>
  <c r="AB28" i="21"/>
  <c r="O28" i="21" s="1"/>
  <c r="AC28" i="21"/>
  <c r="P28" i="21" s="1"/>
  <c r="X29" i="21"/>
  <c r="K29" i="21" s="1"/>
  <c r="Y29" i="21"/>
  <c r="L29" i="21" s="1"/>
  <c r="Z29" i="21"/>
  <c r="M29" i="21" s="1"/>
  <c r="AA29" i="21"/>
  <c r="N29" i="21" s="1"/>
  <c r="AB29" i="21"/>
  <c r="O29" i="21" s="1"/>
  <c r="AC29" i="21"/>
  <c r="P29" i="21" s="1"/>
  <c r="X30" i="21"/>
  <c r="K30" i="21" s="1"/>
  <c r="Y30" i="21"/>
  <c r="L30" i="21" s="1"/>
  <c r="Z30" i="21"/>
  <c r="M30" i="21" s="1"/>
  <c r="AA30" i="21"/>
  <c r="N30" i="21" s="1"/>
  <c r="AB30" i="21"/>
  <c r="AC30" i="21"/>
  <c r="P30" i="21" s="1"/>
  <c r="K31" i="21"/>
  <c r="L31" i="21"/>
  <c r="M31" i="21"/>
  <c r="N31" i="21"/>
  <c r="O31" i="21"/>
  <c r="P31" i="21"/>
  <c r="K32" i="21"/>
  <c r="L32" i="21"/>
  <c r="M32" i="21"/>
  <c r="N32" i="21"/>
  <c r="O32" i="21"/>
  <c r="P32" i="21"/>
  <c r="X33" i="21"/>
  <c r="K33" i="21" s="1"/>
  <c r="Y33" i="21"/>
  <c r="F33" i="21" s="1"/>
  <c r="Z33" i="21"/>
  <c r="M33" i="21" s="1"/>
  <c r="AA33" i="21"/>
  <c r="N33" i="21" s="1"/>
  <c r="AB33" i="21"/>
  <c r="O33" i="21" s="1"/>
  <c r="AC33" i="21"/>
  <c r="P33" i="21" s="1"/>
  <c r="X34" i="21"/>
  <c r="K34" i="21" s="1"/>
  <c r="Y34" i="21"/>
  <c r="L34" i="21" s="1"/>
  <c r="Z34" i="21"/>
  <c r="M34" i="21" s="1"/>
  <c r="AA34" i="21"/>
  <c r="N34" i="21" s="1"/>
  <c r="AB34" i="21"/>
  <c r="O34" i="21" s="1"/>
  <c r="AC34" i="21"/>
  <c r="P34" i="21" s="1"/>
  <c r="X35" i="21"/>
  <c r="K35" i="21" s="1"/>
  <c r="Y35" i="21"/>
  <c r="L35" i="21" s="1"/>
  <c r="Z35" i="21"/>
  <c r="M35" i="21" s="1"/>
  <c r="AA35" i="21"/>
  <c r="N35" i="21" s="1"/>
  <c r="AB35" i="21"/>
  <c r="O35" i="21" s="1"/>
  <c r="AC35" i="21"/>
  <c r="P35" i="21" s="1"/>
  <c r="X36" i="21"/>
  <c r="K36" i="21" s="1"/>
  <c r="Y36" i="21"/>
  <c r="L36" i="21" s="1"/>
  <c r="Z36" i="21"/>
  <c r="G36" i="21" s="1"/>
  <c r="AA36" i="21"/>
  <c r="N36" i="21" s="1"/>
  <c r="AB36" i="21"/>
  <c r="I36" i="21" s="1"/>
  <c r="AC36" i="21"/>
  <c r="P36" i="21" s="1"/>
  <c r="X37" i="21"/>
  <c r="K37" i="21" s="1"/>
  <c r="Y37" i="21"/>
  <c r="F37" i="21" s="1"/>
  <c r="Z37" i="21"/>
  <c r="M37" i="21" s="1"/>
  <c r="AA37" i="21"/>
  <c r="N37" i="21" s="1"/>
  <c r="AB37" i="21"/>
  <c r="O37" i="21" s="1"/>
  <c r="AC37" i="21"/>
  <c r="P37" i="21" s="1"/>
  <c r="X38" i="21"/>
  <c r="K38" i="21" s="1"/>
  <c r="Y38" i="21"/>
  <c r="F38" i="21" s="1"/>
  <c r="Z38" i="21"/>
  <c r="M38" i="21" s="1"/>
  <c r="AA38" i="21"/>
  <c r="N38" i="21" s="1"/>
  <c r="AB38" i="21"/>
  <c r="O38" i="21" s="1"/>
  <c r="AC38" i="21"/>
  <c r="X39" i="21"/>
  <c r="K39" i="21" s="1"/>
  <c r="Y39" i="21"/>
  <c r="L39" i="21" s="1"/>
  <c r="Z39" i="21"/>
  <c r="G39" i="21" s="1"/>
  <c r="AA39" i="21"/>
  <c r="N39" i="21" s="1"/>
  <c r="AB39" i="21"/>
  <c r="O39" i="21" s="1"/>
  <c r="AC39" i="21"/>
  <c r="P39" i="21" s="1"/>
  <c r="X40" i="21"/>
  <c r="K40" i="21" s="1"/>
  <c r="Y40" i="21"/>
  <c r="Z40" i="21"/>
  <c r="AA40" i="21"/>
  <c r="AB40" i="21"/>
  <c r="O40" i="21" s="1"/>
  <c r="AC40" i="21"/>
  <c r="P40" i="21" s="1"/>
  <c r="X41" i="21"/>
  <c r="K41" i="21" s="1"/>
  <c r="Y41" i="21"/>
  <c r="L41" i="21" s="1"/>
  <c r="Z41" i="21"/>
  <c r="M41" i="21" s="1"/>
  <c r="AA41" i="21"/>
  <c r="N41" i="21" s="1"/>
  <c r="AB41" i="21"/>
  <c r="O41" i="21" s="1"/>
  <c r="AC41" i="21"/>
  <c r="P41" i="21" s="1"/>
  <c r="X42" i="21"/>
  <c r="K42" i="21" s="1"/>
  <c r="Y42" i="21"/>
  <c r="L42" i="21" s="1"/>
  <c r="Z42" i="21"/>
  <c r="M42" i="21" s="1"/>
  <c r="AA42" i="21"/>
  <c r="N42" i="21" s="1"/>
  <c r="AB42" i="21"/>
  <c r="O42" i="21" s="1"/>
  <c r="AC42" i="21"/>
  <c r="P42" i="21" s="1"/>
  <c r="X43" i="21"/>
  <c r="K43" i="21" s="1"/>
  <c r="Y43" i="21"/>
  <c r="L43" i="21" s="1"/>
  <c r="Z43" i="21"/>
  <c r="M43" i="21" s="1"/>
  <c r="AA43" i="21"/>
  <c r="N43" i="21" s="1"/>
  <c r="AB43" i="21"/>
  <c r="AC43" i="21"/>
  <c r="P43" i="21" s="1"/>
  <c r="X44" i="21"/>
  <c r="K44" i="21" s="1"/>
  <c r="Y44" i="21"/>
  <c r="L44" i="21" s="1"/>
  <c r="Z44" i="21"/>
  <c r="M44" i="21" s="1"/>
  <c r="AA44" i="21"/>
  <c r="N44" i="21" s="1"/>
  <c r="AB44" i="21"/>
  <c r="O44" i="21" s="1"/>
  <c r="AC44" i="21"/>
  <c r="P44" i="21" s="1"/>
  <c r="X45" i="21"/>
  <c r="K45" i="21" s="1"/>
  <c r="Y45" i="21"/>
  <c r="F45" i="21" s="1"/>
  <c r="Z45" i="21"/>
  <c r="M45" i="21" s="1"/>
  <c r="AA45" i="21"/>
  <c r="N45" i="21" s="1"/>
  <c r="AB45" i="21"/>
  <c r="O45" i="21" s="1"/>
  <c r="AC45" i="21"/>
  <c r="P45" i="21" s="1"/>
  <c r="X46" i="21"/>
  <c r="K46" i="21" s="1"/>
  <c r="Y46" i="21"/>
  <c r="L46" i="21" s="1"/>
  <c r="Z46" i="21"/>
  <c r="M46" i="21" s="1"/>
  <c r="AA46" i="21"/>
  <c r="N46" i="21" s="1"/>
  <c r="AB46" i="21"/>
  <c r="O46" i="21" s="1"/>
  <c r="AC46" i="21"/>
  <c r="P46" i="21" s="1"/>
  <c r="X47" i="21"/>
  <c r="K47" i="21" s="1"/>
  <c r="Y47" i="21"/>
  <c r="L47" i="21" s="1"/>
  <c r="Z47" i="21"/>
  <c r="M47" i="21" s="1"/>
  <c r="AA47" i="21"/>
  <c r="N47" i="21" s="1"/>
  <c r="AB47" i="21"/>
  <c r="O47" i="21" s="1"/>
  <c r="AC47" i="21"/>
  <c r="P47" i="21" s="1"/>
  <c r="Y48" i="21"/>
  <c r="Z48" i="21"/>
  <c r="AA48" i="21"/>
  <c r="N48" i="21" s="1"/>
  <c r="AB48" i="21"/>
  <c r="O48" i="21" s="1"/>
  <c r="AC48" i="21"/>
  <c r="P48" i="21" s="1"/>
  <c r="X49" i="21"/>
  <c r="K49" i="21" s="1"/>
  <c r="Y49" i="21"/>
  <c r="F49" i="21" s="1"/>
  <c r="Z49" i="21"/>
  <c r="M49" i="21" s="1"/>
  <c r="AA49" i="21"/>
  <c r="N49" i="21" s="1"/>
  <c r="AB49" i="21"/>
  <c r="O49" i="21" s="1"/>
  <c r="AC49" i="21"/>
  <c r="P49" i="21" s="1"/>
  <c r="X50" i="21"/>
  <c r="K50" i="21" s="1"/>
  <c r="Y50" i="21"/>
  <c r="L50" i="21" s="1"/>
  <c r="Z50" i="21"/>
  <c r="M50" i="21" s="1"/>
  <c r="AA50" i="21"/>
  <c r="N50" i="21" s="1"/>
  <c r="AB50" i="21"/>
  <c r="O50" i="21" s="1"/>
  <c r="AC50" i="21"/>
  <c r="P50" i="21" s="1"/>
  <c r="X51" i="21"/>
  <c r="Y51" i="21"/>
  <c r="L51" i="21" s="1"/>
  <c r="Z51" i="21"/>
  <c r="M51" i="21" s="1"/>
  <c r="AA51" i="21"/>
  <c r="AB51" i="21"/>
  <c r="AC51" i="21"/>
  <c r="P51" i="21" s="1"/>
  <c r="X52" i="21"/>
  <c r="K52" i="21" s="1"/>
  <c r="Y52" i="21"/>
  <c r="Z52" i="21"/>
  <c r="M52" i="21" s="1"/>
  <c r="AA52" i="21"/>
  <c r="AB52" i="21"/>
  <c r="O52" i="21" s="1"/>
  <c r="AC52" i="21"/>
  <c r="P52" i="21" s="1"/>
  <c r="X53" i="21"/>
  <c r="K53" i="21" s="1"/>
  <c r="Y53" i="21"/>
  <c r="L53" i="21" s="1"/>
  <c r="Z53" i="21"/>
  <c r="M53" i="21" s="1"/>
  <c r="AA53" i="21"/>
  <c r="N53" i="21" s="1"/>
  <c r="AB53" i="21"/>
  <c r="O53" i="21" s="1"/>
  <c r="AC53" i="21"/>
  <c r="P53" i="21" s="1"/>
  <c r="X54" i="21"/>
  <c r="K54" i="21" s="1"/>
  <c r="Y54" i="21"/>
  <c r="F54" i="21" s="1"/>
  <c r="Z54" i="21"/>
  <c r="M54" i="21" s="1"/>
  <c r="AA54" i="21"/>
  <c r="N54" i="21" s="1"/>
  <c r="AB54" i="21"/>
  <c r="O54" i="21" s="1"/>
  <c r="AC54" i="21"/>
  <c r="J54" i="21" s="1"/>
  <c r="X55" i="21"/>
  <c r="E55" i="21" s="1"/>
  <c r="Y55" i="21"/>
  <c r="L55" i="21" s="1"/>
  <c r="Z55" i="21"/>
  <c r="M55" i="21" s="1"/>
  <c r="AA55" i="21"/>
  <c r="N55" i="21" s="1"/>
  <c r="AB55" i="21"/>
  <c r="O55" i="21" s="1"/>
  <c r="AC55" i="21"/>
  <c r="J55" i="21" s="1"/>
  <c r="X56" i="21"/>
  <c r="K56" i="21" s="1"/>
  <c r="Y56" i="21"/>
  <c r="L56" i="21" s="1"/>
  <c r="Z56" i="21"/>
  <c r="M56" i="21" s="1"/>
  <c r="AA56" i="21"/>
  <c r="N56" i="21" s="1"/>
  <c r="AB56" i="21"/>
  <c r="O56" i="21" s="1"/>
  <c r="AC56" i="21"/>
  <c r="P56" i="21" s="1"/>
  <c r="X57" i="21"/>
  <c r="K57" i="21" s="1"/>
  <c r="Y57" i="21"/>
  <c r="L57" i="21" s="1"/>
  <c r="Z57" i="21"/>
  <c r="M57" i="21" s="1"/>
  <c r="AA57" i="21"/>
  <c r="N57" i="21" s="1"/>
  <c r="AB57" i="21"/>
  <c r="O57" i="21" s="1"/>
  <c r="AC57" i="21"/>
  <c r="P57" i="21" s="1"/>
  <c r="X58" i="21"/>
  <c r="K58" i="21" s="1"/>
  <c r="Y58" i="21"/>
  <c r="L58" i="21" s="1"/>
  <c r="Z58" i="21"/>
  <c r="M58" i="21" s="1"/>
  <c r="AA58" i="21"/>
  <c r="N58" i="21" s="1"/>
  <c r="AB58" i="21"/>
  <c r="O58" i="21" s="1"/>
  <c r="AC58" i="21"/>
  <c r="P58" i="21" s="1"/>
  <c r="X59" i="21"/>
  <c r="K59" i="21" s="1"/>
  <c r="Y59" i="21"/>
  <c r="L59" i="21" s="1"/>
  <c r="Z59" i="21"/>
  <c r="M59" i="21" s="1"/>
  <c r="AA59" i="21"/>
  <c r="N59" i="21" s="1"/>
  <c r="AB59" i="21"/>
  <c r="O59" i="21" s="1"/>
  <c r="AC59" i="21"/>
  <c r="P59" i="21" s="1"/>
  <c r="X60" i="21"/>
  <c r="K60" i="21" s="1"/>
  <c r="Y60" i="21"/>
  <c r="L60" i="21" s="1"/>
  <c r="Z60" i="21"/>
  <c r="M60" i="21" s="1"/>
  <c r="AA60" i="21"/>
  <c r="N60" i="21" s="1"/>
  <c r="AB60" i="21"/>
  <c r="O60" i="21" s="1"/>
  <c r="AC60" i="21"/>
  <c r="P60" i="21" s="1"/>
  <c r="X61" i="21"/>
  <c r="K61" i="21" s="1"/>
  <c r="Y61" i="21"/>
  <c r="L61" i="21" s="1"/>
  <c r="Z61" i="21"/>
  <c r="M61" i="21" s="1"/>
  <c r="AA61" i="21"/>
  <c r="N61" i="21" s="1"/>
  <c r="AB61" i="21"/>
  <c r="O61" i="21" s="1"/>
  <c r="AC61" i="21"/>
  <c r="P61" i="21" s="1"/>
  <c r="X62" i="21"/>
  <c r="K62" i="21" s="1"/>
  <c r="Y62" i="21"/>
  <c r="L62" i="21" s="1"/>
  <c r="Z62" i="21"/>
  <c r="M62" i="21" s="1"/>
  <c r="AA62" i="21"/>
  <c r="N62" i="21" s="1"/>
  <c r="AB62" i="21"/>
  <c r="O62" i="21" s="1"/>
  <c r="AC62" i="21"/>
  <c r="J62" i="21" s="1"/>
  <c r="X63" i="21"/>
  <c r="E63" i="21" s="1"/>
  <c r="Y63" i="21"/>
  <c r="F63" i="21" s="1"/>
  <c r="Z63" i="21"/>
  <c r="M63" i="21" s="1"/>
  <c r="AA63" i="21"/>
  <c r="H63" i="21" s="1"/>
  <c r="AB63" i="21"/>
  <c r="I63" i="21" s="1"/>
  <c r="AC63" i="21"/>
  <c r="P63" i="21" s="1"/>
  <c r="X64" i="21"/>
  <c r="K64" i="21" s="1"/>
  <c r="Y64" i="21"/>
  <c r="L64" i="21" s="1"/>
  <c r="Z64" i="21"/>
  <c r="M64" i="21" s="1"/>
  <c r="AA64" i="21"/>
  <c r="N64" i="21" s="1"/>
  <c r="AB64" i="21"/>
  <c r="O64" i="21" s="1"/>
  <c r="AC64" i="21"/>
  <c r="P64" i="21" s="1"/>
  <c r="X65" i="21"/>
  <c r="K65" i="21" s="1"/>
  <c r="Y65" i="21"/>
  <c r="L65" i="21" s="1"/>
  <c r="Z65" i="21"/>
  <c r="M65" i="21" s="1"/>
  <c r="AA65" i="21"/>
  <c r="N65" i="21" s="1"/>
  <c r="AB65" i="21"/>
  <c r="O65" i="21" s="1"/>
  <c r="AC65" i="21"/>
  <c r="P65" i="21" s="1"/>
  <c r="X66" i="21"/>
  <c r="K66" i="21" s="1"/>
  <c r="Y66" i="21"/>
  <c r="L66" i="21" s="1"/>
  <c r="Z66" i="21"/>
  <c r="M66" i="21" s="1"/>
  <c r="AA66" i="21"/>
  <c r="N66" i="21" s="1"/>
  <c r="AB66" i="21"/>
  <c r="O66" i="21" s="1"/>
  <c r="AC66" i="21"/>
  <c r="P66" i="21" s="1"/>
  <c r="X67" i="21"/>
  <c r="K67" i="21" s="1"/>
  <c r="Y67" i="21"/>
  <c r="L67" i="21" s="1"/>
  <c r="Z67" i="21"/>
  <c r="M67" i="21" s="1"/>
  <c r="AA67" i="21"/>
  <c r="N67" i="21" s="1"/>
  <c r="AB67" i="21"/>
  <c r="O67" i="21" s="1"/>
  <c r="AC67" i="21"/>
  <c r="P67" i="21" s="1"/>
  <c r="X68" i="21"/>
  <c r="K68" i="21" s="1"/>
  <c r="Y68" i="21"/>
  <c r="L68" i="21" s="1"/>
  <c r="Z68" i="21"/>
  <c r="M68" i="21" s="1"/>
  <c r="AA68" i="21"/>
  <c r="N68" i="21" s="1"/>
  <c r="AB68" i="21"/>
  <c r="O68" i="21" s="1"/>
  <c r="AC68" i="21"/>
  <c r="P68" i="21" s="1"/>
  <c r="X69" i="21"/>
  <c r="K69" i="21" s="1"/>
  <c r="Y69" i="21"/>
  <c r="L69" i="21" s="1"/>
  <c r="Z69" i="21"/>
  <c r="M69" i="21" s="1"/>
  <c r="AA69" i="21"/>
  <c r="N69" i="21" s="1"/>
  <c r="AB69" i="21"/>
  <c r="O69" i="21" s="1"/>
  <c r="AC69" i="21"/>
  <c r="P69" i="21" s="1"/>
  <c r="K70" i="21"/>
  <c r="Y70" i="21"/>
  <c r="L70" i="21" s="1"/>
  <c r="Z70" i="21"/>
  <c r="M70" i="21" s="1"/>
  <c r="AA70" i="21"/>
  <c r="N70" i="21" s="1"/>
  <c r="AB70" i="21"/>
  <c r="O70" i="21" s="1"/>
  <c r="AC70" i="21"/>
  <c r="P70" i="21" s="1"/>
  <c r="X71" i="21"/>
  <c r="K71" i="21" s="1"/>
  <c r="Y71" i="21"/>
  <c r="L71" i="21" s="1"/>
  <c r="Z71" i="21"/>
  <c r="M71" i="21" s="1"/>
  <c r="AA71" i="21"/>
  <c r="N71" i="21" s="1"/>
  <c r="AB71" i="21"/>
  <c r="O71" i="21" s="1"/>
  <c r="AC71" i="21"/>
  <c r="P71" i="21" s="1"/>
  <c r="X72" i="21"/>
  <c r="K72" i="21" s="1"/>
  <c r="Y72" i="21"/>
  <c r="L72" i="21" s="1"/>
  <c r="Z72" i="21"/>
  <c r="M72" i="21" s="1"/>
  <c r="AA72" i="21"/>
  <c r="N72" i="21" s="1"/>
  <c r="AB72" i="21"/>
  <c r="O72" i="21" s="1"/>
  <c r="AC72" i="21"/>
  <c r="P72" i="21" s="1"/>
  <c r="X73" i="21"/>
  <c r="K73" i="21" s="1"/>
  <c r="Y73" i="21"/>
  <c r="L73" i="21" s="1"/>
  <c r="Z73" i="21"/>
  <c r="M73" i="21" s="1"/>
  <c r="AA73" i="21"/>
  <c r="N73" i="21" s="1"/>
  <c r="AB73" i="21"/>
  <c r="O73" i="21" s="1"/>
  <c r="AC73" i="21"/>
  <c r="P73" i="21" s="1"/>
  <c r="X74" i="21"/>
  <c r="K74" i="21" s="1"/>
  <c r="Y74" i="21"/>
  <c r="L74" i="21" s="1"/>
  <c r="Z74" i="21"/>
  <c r="M74" i="21" s="1"/>
  <c r="AA74" i="21"/>
  <c r="N74" i="21" s="1"/>
  <c r="AB74" i="21"/>
  <c r="O74" i="21" s="1"/>
  <c r="AC74" i="21"/>
  <c r="P74" i="21" s="1"/>
  <c r="X75" i="21"/>
  <c r="K75" i="21" s="1"/>
  <c r="Y75" i="21"/>
  <c r="L75" i="21" s="1"/>
  <c r="Z75" i="21"/>
  <c r="M75" i="21" s="1"/>
  <c r="AA75" i="21"/>
  <c r="N75" i="21" s="1"/>
  <c r="AB75" i="21"/>
  <c r="O75" i="21" s="1"/>
  <c r="AC75" i="21"/>
  <c r="P75" i="21" s="1"/>
  <c r="X76" i="21"/>
  <c r="E76" i="21" s="1"/>
  <c r="Y76" i="21"/>
  <c r="L76" i="21" s="1"/>
  <c r="Z76" i="21"/>
  <c r="M76" i="21" s="1"/>
  <c r="AA76" i="21"/>
  <c r="N76" i="21" s="1"/>
  <c r="AB76" i="21"/>
  <c r="I76" i="21" s="1"/>
  <c r="AC76" i="21"/>
  <c r="P76" i="21" s="1"/>
  <c r="X77" i="21"/>
  <c r="K77" i="21" s="1"/>
  <c r="Y77" i="21"/>
  <c r="F77" i="21" s="1"/>
  <c r="Z77" i="21"/>
  <c r="M77" i="21" s="1"/>
  <c r="AA77" i="21"/>
  <c r="N77" i="21" s="1"/>
  <c r="AB77" i="21"/>
  <c r="O77" i="21" s="1"/>
  <c r="AC77" i="21"/>
  <c r="P77" i="21" s="1"/>
  <c r="AC4" i="21"/>
  <c r="P4" i="21" s="1"/>
  <c r="AB4" i="21"/>
  <c r="O4" i="21" s="1"/>
  <c r="AA4" i="21"/>
  <c r="N4" i="21" s="1"/>
  <c r="Z4" i="21"/>
  <c r="M4" i="21" s="1"/>
  <c r="Y4" i="21"/>
  <c r="F4" i="21" s="1"/>
  <c r="X4" i="21"/>
  <c r="E4" i="21" s="1"/>
  <c r="D3" i="21"/>
  <c r="Q3" i="21"/>
  <c r="U3" i="21"/>
  <c r="V3" i="21"/>
  <c r="W3" i="21"/>
  <c r="AD3" i="21"/>
  <c r="AE3" i="21"/>
  <c r="AF3" i="21"/>
  <c r="AG3" i="21"/>
  <c r="AH3" i="21"/>
  <c r="AI3" i="21"/>
  <c r="AJ3" i="21"/>
  <c r="AK3" i="21"/>
  <c r="AL3" i="21"/>
  <c r="AM3" i="21"/>
  <c r="AN3" i="21"/>
  <c r="AO3" i="21"/>
  <c r="S3" i="21"/>
  <c r="R3" i="21"/>
  <c r="Y5" i="17"/>
  <c r="X5" i="17" s="1"/>
  <c r="E5" i="17" s="1"/>
  <c r="K50" i="17"/>
  <c r="K193" i="18"/>
  <c r="K2" i="18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162" i="18"/>
  <c r="K163" i="18"/>
  <c r="K164" i="18"/>
  <c r="K165" i="18"/>
  <c r="K166" i="18"/>
  <c r="K167" i="18"/>
  <c r="K168" i="18"/>
  <c r="K169" i="18"/>
  <c r="K170" i="18"/>
  <c r="K171" i="18"/>
  <c r="K172" i="18"/>
  <c r="K173" i="18"/>
  <c r="K174" i="18"/>
  <c r="K175" i="18"/>
  <c r="K176" i="18"/>
  <c r="K177" i="18"/>
  <c r="K178" i="18"/>
  <c r="K179" i="18"/>
  <c r="K180" i="18"/>
  <c r="K181" i="18"/>
  <c r="K182" i="18"/>
  <c r="K183" i="18"/>
  <c r="K184" i="18"/>
  <c r="K185" i="18"/>
  <c r="K186" i="18"/>
  <c r="K187" i="18"/>
  <c r="K188" i="18"/>
  <c r="K189" i="18"/>
  <c r="K190" i="18"/>
  <c r="K191" i="18"/>
  <c r="K192" i="18"/>
  <c r="AF21" i="17"/>
  <c r="AF23" i="17"/>
  <c r="Y6" i="17"/>
  <c r="X6" i="17" s="1"/>
  <c r="H6" i="17" s="1"/>
  <c r="Y7" i="17"/>
  <c r="X7" i="17" s="1"/>
  <c r="E7" i="17" s="1"/>
  <c r="Y8" i="17"/>
  <c r="X8" i="17" s="1"/>
  <c r="Y9" i="17"/>
  <c r="X9" i="17" s="1"/>
  <c r="E9" i="17" s="1"/>
  <c r="Y10" i="17"/>
  <c r="X10" i="17" s="1"/>
  <c r="H10" i="17" s="1"/>
  <c r="Y11" i="17"/>
  <c r="X11" i="17" s="1"/>
  <c r="E11" i="17" s="1"/>
  <c r="Y12" i="17"/>
  <c r="X12" i="17" s="1"/>
  <c r="E12" i="17" s="1"/>
  <c r="Y13" i="17"/>
  <c r="X13" i="17" s="1"/>
  <c r="E13" i="17" s="1"/>
  <c r="Y14" i="17"/>
  <c r="X14" i="17" s="1"/>
  <c r="G14" i="17" s="1"/>
  <c r="Y15" i="17"/>
  <c r="X15" i="17" s="1"/>
  <c r="J15" i="17" s="1"/>
  <c r="Y16" i="17"/>
  <c r="X16" i="17" s="1"/>
  <c r="J16" i="17" s="1"/>
  <c r="Y17" i="17"/>
  <c r="X17" i="17" s="1"/>
  <c r="E17" i="17" s="1"/>
  <c r="Y18" i="17"/>
  <c r="X18" i="17" s="1"/>
  <c r="E18" i="17" s="1"/>
  <c r="Y19" i="17"/>
  <c r="X19" i="17" s="1"/>
  <c r="H19" i="17" s="1"/>
  <c r="Y20" i="17"/>
  <c r="X20" i="17" s="1"/>
  <c r="Y21" i="17"/>
  <c r="X21" i="17" s="1"/>
  <c r="F21" i="17" s="1"/>
  <c r="Y22" i="17"/>
  <c r="X22" i="17" s="1"/>
  <c r="Y23" i="17"/>
  <c r="X23" i="17" s="1"/>
  <c r="Y24" i="17"/>
  <c r="X24" i="17" s="1"/>
  <c r="F24" i="17" s="1"/>
  <c r="Y25" i="17"/>
  <c r="X25" i="17" s="1"/>
  <c r="Y26" i="17"/>
  <c r="X26" i="17" s="1"/>
  <c r="Y27" i="17"/>
  <c r="X27" i="17" s="1"/>
  <c r="Y28" i="17"/>
  <c r="X28" i="17" s="1"/>
  <c r="Y29" i="17"/>
  <c r="X29" i="17" s="1"/>
  <c r="Y30" i="17"/>
  <c r="X30" i="17" s="1"/>
  <c r="Y31" i="17"/>
  <c r="X31" i="17" s="1"/>
  <c r="Y32" i="17"/>
  <c r="X32" i="17" s="1"/>
  <c r="Y33" i="17"/>
  <c r="X33" i="17" s="1"/>
  <c r="H33" i="17" s="1"/>
  <c r="Y34" i="17"/>
  <c r="X34" i="17" s="1"/>
  <c r="Y35" i="17"/>
  <c r="X35" i="17" s="1"/>
  <c r="Y36" i="17"/>
  <c r="X36" i="17" s="1"/>
  <c r="G36" i="17" s="1"/>
  <c r="Y37" i="17"/>
  <c r="X37" i="17" s="1"/>
  <c r="H37" i="17" s="1"/>
  <c r="Y38" i="17"/>
  <c r="X38" i="17" s="1"/>
  <c r="Y39" i="17"/>
  <c r="X39" i="17" s="1"/>
  <c r="H39" i="17" s="1"/>
  <c r="Y40" i="17"/>
  <c r="X40" i="17" s="1"/>
  <c r="Y41" i="17"/>
  <c r="X41" i="17" s="1"/>
  <c r="Y42" i="17"/>
  <c r="X42" i="17" s="1"/>
  <c r="Y43" i="17"/>
  <c r="X43" i="17" s="1"/>
  <c r="Y44" i="17"/>
  <c r="X44" i="17" s="1"/>
  <c r="Y45" i="17"/>
  <c r="X45" i="17" s="1"/>
  <c r="E45" i="17" s="1"/>
  <c r="Y46" i="17"/>
  <c r="X46" i="17" s="1"/>
  <c r="Y47" i="17"/>
  <c r="X47" i="17" s="1"/>
  <c r="Y48" i="17"/>
  <c r="X48" i="17" s="1"/>
  <c r="Y49" i="17"/>
  <c r="X49" i="17" s="1"/>
  <c r="H49" i="17" s="1"/>
  <c r="Y50" i="17"/>
  <c r="X50" i="17" s="1"/>
  <c r="Y51" i="17"/>
  <c r="X51" i="17" s="1"/>
  <c r="K51" i="17" s="1"/>
  <c r="Y52" i="17"/>
  <c r="X52" i="17" s="1"/>
  <c r="E52" i="17" s="1"/>
  <c r="Y53" i="17"/>
  <c r="X53" i="17" s="1"/>
  <c r="Y54" i="17"/>
  <c r="X54" i="17" s="1"/>
  <c r="Y55" i="17"/>
  <c r="X55" i="17" s="1"/>
  <c r="G55" i="17" s="1"/>
  <c r="Y56" i="17"/>
  <c r="X56" i="17" s="1"/>
  <c r="Y57" i="17"/>
  <c r="X57" i="17" s="1"/>
  <c r="Y58" i="17"/>
  <c r="X58" i="17" s="1"/>
  <c r="Y59" i="17"/>
  <c r="X59" i="17" s="1"/>
  <c r="Y60" i="17"/>
  <c r="X60" i="17" s="1"/>
  <c r="Y61" i="17"/>
  <c r="X61" i="17" s="1"/>
  <c r="Y62" i="17"/>
  <c r="X62" i="17" s="1"/>
  <c r="Y63" i="17"/>
  <c r="X63" i="17" s="1"/>
  <c r="E63" i="17" s="1"/>
  <c r="Y64" i="17"/>
  <c r="X64" i="17" s="1"/>
  <c r="I64" i="17" s="1"/>
  <c r="Y65" i="17"/>
  <c r="X65" i="17" s="1"/>
  <c r="Y66" i="17"/>
  <c r="X66" i="17" s="1"/>
  <c r="Y67" i="17"/>
  <c r="X67" i="17" s="1"/>
  <c r="Y68" i="17"/>
  <c r="X68" i="17" s="1"/>
  <c r="Y69" i="17"/>
  <c r="X69" i="17" s="1"/>
  <c r="Y70" i="17"/>
  <c r="X70" i="17" s="1"/>
  <c r="Y71" i="17"/>
  <c r="X71" i="17" s="1"/>
  <c r="Y72" i="17"/>
  <c r="X72" i="17" s="1"/>
  <c r="Y73" i="17"/>
  <c r="X73" i="17" s="1"/>
  <c r="Y74" i="17"/>
  <c r="X74" i="17" s="1"/>
  <c r="Y75" i="17"/>
  <c r="X75" i="17" s="1"/>
  <c r="Y76" i="17"/>
  <c r="X76" i="17" s="1"/>
  <c r="Y77" i="17"/>
  <c r="X77" i="17" s="1"/>
  <c r="H77" i="17" s="1"/>
  <c r="Y78" i="17"/>
  <c r="X78" i="17" s="1"/>
  <c r="E78" i="17" s="1"/>
  <c r="Y4" i="17"/>
  <c r="X4" i="17" s="1"/>
  <c r="J4" i="17" s="1"/>
  <c r="O30" i="21" l="1"/>
  <c r="F38" i="17"/>
  <c r="J38" i="21"/>
  <c r="F40" i="21"/>
  <c r="F52" i="21"/>
  <c r="L40" i="21"/>
  <c r="O76" i="21"/>
  <c r="L48" i="21"/>
  <c r="F36" i="21"/>
  <c r="E36" i="21"/>
  <c r="E24" i="21"/>
  <c r="H52" i="21"/>
  <c r="H40" i="21"/>
  <c r="G40" i="21"/>
  <c r="M48" i="21"/>
  <c r="I12" i="21"/>
  <c r="G53" i="17"/>
  <c r="I27" i="21"/>
  <c r="E40" i="21"/>
  <c r="I43" i="21"/>
  <c r="J74" i="21"/>
  <c r="I26" i="21"/>
  <c r="F39" i="21"/>
  <c r="I14" i="21"/>
  <c r="K55" i="21"/>
  <c r="F11" i="21"/>
  <c r="P54" i="21"/>
  <c r="F10" i="21"/>
  <c r="G11" i="21"/>
  <c r="F14" i="21"/>
  <c r="M7" i="21"/>
  <c r="J39" i="21"/>
  <c r="P55" i="21"/>
  <c r="K48" i="21"/>
  <c r="G9" i="21"/>
  <c r="G5" i="21"/>
  <c r="M39" i="21"/>
  <c r="I49" i="21"/>
  <c r="J24" i="21"/>
  <c r="E49" i="21"/>
  <c r="M36" i="21"/>
  <c r="L63" i="21"/>
  <c r="I24" i="21"/>
  <c r="G76" i="21"/>
  <c r="G49" i="21"/>
  <c r="M13" i="21"/>
  <c r="H33" i="21"/>
  <c r="E77" i="21"/>
  <c r="J63" i="21"/>
  <c r="G63" i="21"/>
  <c r="I20" i="21"/>
  <c r="I40" i="21"/>
  <c r="O36" i="21"/>
  <c r="F19" i="21"/>
  <c r="G17" i="21"/>
  <c r="O11" i="21"/>
  <c r="O63" i="21"/>
  <c r="N11" i="21"/>
  <c r="N63" i="21"/>
  <c r="E14" i="21"/>
  <c r="L52" i="21"/>
  <c r="F76" i="21"/>
  <c r="K63" i="21"/>
  <c r="I23" i="21"/>
  <c r="K7" i="21"/>
  <c r="P38" i="21"/>
  <c r="P6" i="21"/>
  <c r="O27" i="21"/>
  <c r="I55" i="21"/>
  <c r="I8" i="21"/>
  <c r="P10" i="21"/>
  <c r="N51" i="21"/>
  <c r="G19" i="21"/>
  <c r="H55" i="21"/>
  <c r="J18" i="21"/>
  <c r="H7" i="21"/>
  <c r="H19" i="21"/>
  <c r="I18" i="21"/>
  <c r="G55" i="21"/>
  <c r="F55" i="21"/>
  <c r="H39" i="21"/>
  <c r="F7" i="21"/>
  <c r="E18" i="21"/>
  <c r="P62" i="21"/>
  <c r="I74" i="21"/>
  <c r="I10" i="21"/>
  <c r="E10" i="21"/>
  <c r="I6" i="21"/>
  <c r="K76" i="21"/>
  <c r="I54" i="21"/>
  <c r="E39" i="21"/>
  <c r="I16" i="21"/>
  <c r="F6" i="21"/>
  <c r="K11" i="21"/>
  <c r="O7" i="21"/>
  <c r="K4" i="21"/>
  <c r="G52" i="21"/>
  <c r="H15" i="21"/>
  <c r="E6" i="21"/>
  <c r="E23" i="21"/>
  <c r="K19" i="21"/>
  <c r="O43" i="21"/>
  <c r="I38" i="21"/>
  <c r="G15" i="21"/>
  <c r="E43" i="21"/>
  <c r="I62" i="21"/>
  <c r="I77" i="21"/>
  <c r="E38" i="21"/>
  <c r="F15" i="21"/>
  <c r="H77" i="21"/>
  <c r="J14" i="21"/>
  <c r="G77" i="21"/>
  <c r="J33" i="21"/>
  <c r="J49" i="21"/>
  <c r="I39" i="21"/>
  <c r="I33" i="21"/>
  <c r="E15" i="21"/>
  <c r="J76" i="21"/>
  <c r="H49" i="21"/>
  <c r="G33" i="21"/>
  <c r="H14" i="21"/>
  <c r="H10" i="21"/>
  <c r="H76" i="21"/>
  <c r="E33" i="21"/>
  <c r="G18" i="21"/>
  <c r="G14" i="21"/>
  <c r="G10" i="21"/>
  <c r="G6" i="21"/>
  <c r="H38" i="21"/>
  <c r="J17" i="21"/>
  <c r="J13" i="21"/>
  <c r="J9" i="21"/>
  <c r="J5" i="21"/>
  <c r="E61" i="21"/>
  <c r="O19" i="21"/>
  <c r="N40" i="21"/>
  <c r="N52" i="21"/>
  <c r="E54" i="21"/>
  <c r="G38" i="21"/>
  <c r="H24" i="21"/>
  <c r="I17" i="21"/>
  <c r="I13" i="21"/>
  <c r="I9" i="21"/>
  <c r="I5" i="21"/>
  <c r="E41" i="21"/>
  <c r="M40" i="21"/>
  <c r="G24" i="21"/>
  <c r="H17" i="21"/>
  <c r="H13" i="21"/>
  <c r="H9" i="21"/>
  <c r="H5" i="21"/>
  <c r="E9" i="21"/>
  <c r="E52" i="21"/>
  <c r="O51" i="21"/>
  <c r="I45" i="21"/>
  <c r="H37" i="21"/>
  <c r="J20" i="21"/>
  <c r="J16" i="21"/>
  <c r="J12" i="21"/>
  <c r="J8" i="21"/>
  <c r="J4" i="21"/>
  <c r="J45" i="21"/>
  <c r="H45" i="21"/>
  <c r="G37" i="21"/>
  <c r="I4" i="21"/>
  <c r="E5" i="21"/>
  <c r="H20" i="21"/>
  <c r="H16" i="21"/>
  <c r="H12" i="21"/>
  <c r="H8" i="21"/>
  <c r="H4" i="21"/>
  <c r="J21" i="21"/>
  <c r="I21" i="21"/>
  <c r="E37" i="21"/>
  <c r="G20" i="21"/>
  <c r="G16" i="21"/>
  <c r="G12" i="21"/>
  <c r="G8" i="21"/>
  <c r="G4" i="21"/>
  <c r="H54" i="21"/>
  <c r="E17" i="21"/>
  <c r="E21" i="21"/>
  <c r="K51" i="21"/>
  <c r="H21" i="21"/>
  <c r="H62" i="21"/>
  <c r="E45" i="21"/>
  <c r="J36" i="21"/>
  <c r="G54" i="21"/>
  <c r="E13" i="21"/>
  <c r="G45" i="21"/>
  <c r="G62" i="21"/>
  <c r="E20" i="21"/>
  <c r="E16" i="21"/>
  <c r="E12" i="21"/>
  <c r="E8" i="21"/>
  <c r="H18" i="21"/>
  <c r="E29" i="21"/>
  <c r="J37" i="21"/>
  <c r="I37" i="21"/>
  <c r="E25" i="21"/>
  <c r="O15" i="21"/>
  <c r="G21" i="21"/>
  <c r="F21" i="21"/>
  <c r="F62" i="21"/>
  <c r="H36" i="21"/>
  <c r="J19" i="21"/>
  <c r="J15" i="21"/>
  <c r="J11" i="21"/>
  <c r="J7" i="21"/>
  <c r="F65" i="21"/>
  <c r="E27" i="21"/>
  <c r="J77" i="21"/>
  <c r="E62" i="21"/>
  <c r="H26" i="21"/>
  <c r="H74" i="21"/>
  <c r="G74" i="21"/>
  <c r="G26" i="21"/>
  <c r="F74" i="21"/>
  <c r="F26" i="21"/>
  <c r="E74" i="21"/>
  <c r="E26" i="21"/>
  <c r="J65" i="21"/>
  <c r="J61" i="21"/>
  <c r="J41" i="21"/>
  <c r="J29" i="21"/>
  <c r="J25" i="21"/>
  <c r="I65" i="21"/>
  <c r="I61" i="21"/>
  <c r="I41" i="21"/>
  <c r="I29" i="21"/>
  <c r="I25" i="21"/>
  <c r="H65" i="21"/>
  <c r="H61" i="21"/>
  <c r="H41" i="21"/>
  <c r="H29" i="21"/>
  <c r="H25" i="21"/>
  <c r="G65" i="21"/>
  <c r="G61" i="21"/>
  <c r="G41" i="21"/>
  <c r="G29" i="21"/>
  <c r="G25" i="21"/>
  <c r="F61" i="21"/>
  <c r="F41" i="21"/>
  <c r="F29" i="21"/>
  <c r="F25" i="21"/>
  <c r="E65" i="21"/>
  <c r="J52" i="21"/>
  <c r="J40" i="21"/>
  <c r="I52" i="21"/>
  <c r="J43" i="21"/>
  <c r="J27" i="21"/>
  <c r="J23" i="21"/>
  <c r="H43" i="21"/>
  <c r="H27" i="21"/>
  <c r="H23" i="21"/>
  <c r="G43" i="21"/>
  <c r="G27" i="21"/>
  <c r="G23" i="21"/>
  <c r="F43" i="21"/>
  <c r="F27" i="21"/>
  <c r="F23" i="21"/>
  <c r="J26" i="21"/>
  <c r="AA3" i="21"/>
  <c r="Y3" i="21"/>
  <c r="L20" i="21"/>
  <c r="L16" i="21"/>
  <c r="L12" i="21"/>
  <c r="L8" i="21"/>
  <c r="L24" i="21"/>
  <c r="L37" i="21"/>
  <c r="L33" i="21"/>
  <c r="L77" i="21"/>
  <c r="L49" i="21"/>
  <c r="L45" i="21"/>
  <c r="Z3" i="21"/>
  <c r="L18" i="21"/>
  <c r="N6" i="21"/>
  <c r="L17" i="21"/>
  <c r="L13" i="21"/>
  <c r="L9" i="21"/>
  <c r="L5" i="21"/>
  <c r="L38" i="21"/>
  <c r="L54" i="21"/>
  <c r="L4" i="21"/>
  <c r="AC3" i="21"/>
  <c r="X3" i="21"/>
  <c r="AB3" i="21"/>
  <c r="E40" i="17"/>
  <c r="E27" i="17"/>
  <c r="H66" i="17"/>
  <c r="H23" i="17"/>
  <c r="F66" i="17"/>
  <c r="H25" i="17"/>
  <c r="I29" i="17"/>
  <c r="J41" i="17"/>
  <c r="J55" i="17"/>
  <c r="I55" i="17"/>
  <c r="J45" i="17"/>
  <c r="J27" i="17"/>
  <c r="G77" i="17"/>
  <c r="E77" i="17"/>
  <c r="J66" i="17"/>
  <c r="I21" i="17"/>
  <c r="F29" i="17"/>
  <c r="G21" i="17"/>
  <c r="J24" i="17"/>
  <c r="H21" i="17"/>
  <c r="G49" i="17"/>
  <c r="H45" i="17"/>
  <c r="E62" i="17"/>
  <c r="E26" i="17"/>
  <c r="H62" i="17"/>
  <c r="F62" i="17"/>
  <c r="E23" i="17"/>
  <c r="F49" i="17"/>
  <c r="E49" i="17"/>
  <c r="I45" i="17"/>
  <c r="G33" i="17"/>
  <c r="E29" i="17"/>
  <c r="H27" i="17"/>
  <c r="I26" i="17"/>
  <c r="G25" i="17"/>
  <c r="F25" i="17"/>
  <c r="E25" i="17"/>
  <c r="F77" i="17"/>
  <c r="E24" i="17"/>
  <c r="E66" i="17"/>
  <c r="H29" i="17"/>
  <c r="G62" i="17"/>
  <c r="G29" i="17"/>
  <c r="I24" i="17"/>
  <c r="G45" i="17"/>
  <c r="H24" i="17"/>
  <c r="F45" i="17"/>
  <c r="G24" i="17"/>
  <c r="E39" i="17"/>
  <c r="J23" i="17"/>
  <c r="J38" i="17"/>
  <c r="I38" i="17"/>
  <c r="G23" i="17"/>
  <c r="G38" i="17"/>
  <c r="G39" i="17"/>
  <c r="E33" i="17"/>
  <c r="I66" i="17"/>
  <c r="G66" i="17"/>
  <c r="J29" i="17"/>
  <c r="E21" i="17"/>
  <c r="E56" i="17"/>
  <c r="J56" i="17"/>
  <c r="I56" i="17"/>
  <c r="G56" i="17"/>
  <c r="H56" i="17"/>
  <c r="F56" i="17"/>
  <c r="G19" i="17"/>
  <c r="F39" i="17"/>
  <c r="F33" i="17"/>
  <c r="F19" i="17"/>
  <c r="J17" i="17"/>
  <c r="I41" i="17"/>
  <c r="I37" i="17"/>
  <c r="I27" i="17"/>
  <c r="I23" i="17"/>
  <c r="H17" i="17"/>
  <c r="J18" i="17"/>
  <c r="I17" i="17"/>
  <c r="H64" i="17"/>
  <c r="G64" i="17"/>
  <c r="G41" i="17"/>
  <c r="G27" i="17"/>
  <c r="I16" i="17"/>
  <c r="F55" i="17"/>
  <c r="F41" i="17"/>
  <c r="F27" i="17"/>
  <c r="F23" i="17"/>
  <c r="H16" i="17"/>
  <c r="E64" i="17"/>
  <c r="E55" i="17"/>
  <c r="E41" i="17"/>
  <c r="E37" i="17"/>
  <c r="G16" i="17"/>
  <c r="E19" i="17"/>
  <c r="E38" i="17"/>
  <c r="J37" i="17"/>
  <c r="H55" i="17"/>
  <c r="G37" i="17"/>
  <c r="F64" i="17"/>
  <c r="F37" i="17"/>
  <c r="J78" i="17"/>
  <c r="J63" i="17"/>
  <c r="J53" i="17"/>
  <c r="J40" i="17"/>
  <c r="J36" i="17"/>
  <c r="J26" i="17"/>
  <c r="J21" i="17"/>
  <c r="F16" i="17"/>
  <c r="E16" i="17"/>
  <c r="I63" i="17"/>
  <c r="J12" i="17"/>
  <c r="G63" i="17"/>
  <c r="I12" i="17"/>
  <c r="G18" i="17"/>
  <c r="F18" i="17"/>
  <c r="I36" i="17"/>
  <c r="H53" i="17"/>
  <c r="G78" i="17"/>
  <c r="G26" i="17"/>
  <c r="F78" i="17"/>
  <c r="F63" i="17"/>
  <c r="F53" i="17"/>
  <c r="F40" i="17"/>
  <c r="F36" i="17"/>
  <c r="F26" i="17"/>
  <c r="H12" i="17"/>
  <c r="H41" i="17"/>
  <c r="I40" i="17"/>
  <c r="J7" i="17"/>
  <c r="I18" i="17"/>
  <c r="H18" i="17"/>
  <c r="I53" i="17"/>
  <c r="H78" i="17"/>
  <c r="H40" i="17"/>
  <c r="G40" i="17"/>
  <c r="E53" i="17"/>
  <c r="E36" i="17"/>
  <c r="J77" i="17"/>
  <c r="J62" i="17"/>
  <c r="J49" i="17"/>
  <c r="J39" i="17"/>
  <c r="J33" i="17"/>
  <c r="J25" i="17"/>
  <c r="J19" i="17"/>
  <c r="I7" i="17"/>
  <c r="H38" i="17"/>
  <c r="I78" i="17"/>
  <c r="H63" i="17"/>
  <c r="H36" i="17"/>
  <c r="I77" i="17"/>
  <c r="I49" i="17"/>
  <c r="I33" i="17"/>
  <c r="I19" i="17"/>
  <c r="H7" i="17"/>
  <c r="J64" i="17"/>
  <c r="H26" i="17"/>
  <c r="I62" i="17"/>
  <c r="I39" i="17"/>
  <c r="I25" i="17"/>
  <c r="F8" i="17"/>
  <c r="G8" i="17"/>
  <c r="H8" i="17"/>
  <c r="I8" i="17"/>
  <c r="E8" i="17"/>
  <c r="J8" i="17"/>
  <c r="J20" i="17"/>
  <c r="I20" i="17"/>
  <c r="E20" i="17"/>
  <c r="F20" i="17"/>
  <c r="G20" i="17"/>
  <c r="H20" i="17"/>
  <c r="J11" i="17"/>
  <c r="I11" i="17"/>
  <c r="H15" i="17"/>
  <c r="G15" i="17"/>
  <c r="F15" i="17"/>
  <c r="E15" i="17"/>
  <c r="E4" i="17"/>
  <c r="I4" i="17"/>
  <c r="H14" i="17"/>
  <c r="G10" i="17"/>
  <c r="G6" i="17"/>
  <c r="G4" i="17"/>
  <c r="F14" i="17"/>
  <c r="F10" i="17"/>
  <c r="F6" i="17"/>
  <c r="F4" i="17"/>
  <c r="E14" i="17"/>
  <c r="E10" i="17"/>
  <c r="E6" i="17"/>
  <c r="G12" i="17"/>
  <c r="F12" i="17"/>
  <c r="I15" i="17"/>
  <c r="J10" i="17"/>
  <c r="I14" i="17"/>
  <c r="H4" i="17"/>
  <c r="J5" i="17"/>
  <c r="I13" i="17"/>
  <c r="H5" i="17"/>
  <c r="G17" i="17"/>
  <c r="G13" i="17"/>
  <c r="G9" i="17"/>
  <c r="G5" i="17"/>
  <c r="H11" i="17"/>
  <c r="G11" i="17"/>
  <c r="F11" i="17"/>
  <c r="J6" i="17"/>
  <c r="I10" i="17"/>
  <c r="J13" i="17"/>
  <c r="I5" i="17"/>
  <c r="H9" i="17"/>
  <c r="F17" i="17"/>
  <c r="F13" i="17"/>
  <c r="F9" i="17"/>
  <c r="F5" i="17"/>
  <c r="G7" i="17"/>
  <c r="F7" i="17"/>
  <c r="J14" i="17"/>
  <c r="I6" i="17"/>
  <c r="J9" i="17"/>
  <c r="I9" i="17"/>
  <c r="H13" i="17"/>
  <c r="H75" i="17"/>
  <c r="H52" i="17"/>
  <c r="J52" i="17"/>
  <c r="G52" i="17"/>
  <c r="I52" i="17"/>
  <c r="F52" i="17"/>
  <c r="J43" i="17"/>
  <c r="J75" i="17"/>
  <c r="F43" i="17"/>
  <c r="I75" i="17"/>
  <c r="I43" i="17"/>
  <c r="H43" i="17"/>
  <c r="G43" i="17"/>
  <c r="F75" i="17"/>
  <c r="E75" i="17"/>
  <c r="E43" i="17"/>
  <c r="G75" i="17"/>
  <c r="A2" i="4"/>
  <c r="AF28" i="17"/>
  <c r="A63" i="21" l="1"/>
  <c r="A17" i="21"/>
  <c r="A24" i="21"/>
  <c r="A33" i="21"/>
  <c r="A12" i="21"/>
  <c r="M3" i="21"/>
  <c r="A76" i="21"/>
  <c r="A49" i="21"/>
  <c r="P3" i="21"/>
  <c r="A37" i="21"/>
  <c r="A38" i="21"/>
  <c r="A39" i="21"/>
  <c r="A20" i="21"/>
  <c r="A11" i="21"/>
  <c r="A77" i="21"/>
  <c r="O3" i="21"/>
  <c r="A36" i="21"/>
  <c r="A21" i="21"/>
  <c r="A55" i="21"/>
  <c r="A18" i="21"/>
  <c r="A19" i="21"/>
  <c r="A15" i="21"/>
  <c r="K3" i="21"/>
  <c r="A5" i="21"/>
  <c r="A40" i="21"/>
  <c r="A7" i="21"/>
  <c r="A54" i="21"/>
  <c r="A52" i="21"/>
  <c r="A23" i="21"/>
  <c r="A6" i="21"/>
  <c r="A10" i="21"/>
  <c r="A9" i="21"/>
  <c r="N3" i="21"/>
  <c r="A8" i="21"/>
  <c r="A4" i="21"/>
  <c r="A14" i="21"/>
  <c r="A16" i="21"/>
  <c r="A62" i="21"/>
  <c r="L3" i="21"/>
  <c r="A27" i="21"/>
  <c r="A13" i="21"/>
  <c r="A43" i="21"/>
  <c r="A25" i="21"/>
  <c r="A41" i="21"/>
  <c r="A61" i="21"/>
  <c r="A29" i="21"/>
  <c r="A45" i="21"/>
  <c r="A26" i="21"/>
  <c r="A74" i="21"/>
  <c r="A65" i="21"/>
  <c r="A24" i="17"/>
  <c r="A45" i="17"/>
  <c r="A27" i="17"/>
  <c r="A29" i="17"/>
  <c r="A66" i="17"/>
  <c r="A19" i="17"/>
  <c r="A49" i="17"/>
  <c r="A37" i="17"/>
  <c r="A77" i="17"/>
  <c r="A56" i="17"/>
  <c r="A21" i="17"/>
  <c r="A39" i="17"/>
  <c r="A41" i="17"/>
  <c r="A78" i="17"/>
  <c r="A62" i="17"/>
  <c r="A53" i="17"/>
  <c r="A16" i="17"/>
  <c r="A64" i="17"/>
  <c r="A25" i="17"/>
  <c r="A38" i="17"/>
  <c r="A18" i="17"/>
  <c r="A63" i="17"/>
  <c r="A40" i="17"/>
  <c r="A33" i="17"/>
  <c r="A55" i="17"/>
  <c r="A23" i="17"/>
  <c r="A26" i="17"/>
  <c r="A36" i="17"/>
  <c r="A7" i="17"/>
  <c r="A14" i="17"/>
  <c r="A12" i="17"/>
  <c r="A9" i="17"/>
  <c r="A17" i="17"/>
  <c r="A11" i="17"/>
  <c r="A10" i="17"/>
  <c r="A8" i="17"/>
  <c r="A15" i="17"/>
  <c r="A5" i="17"/>
  <c r="A13" i="17"/>
  <c r="A20" i="17"/>
  <c r="A4" i="17"/>
  <c r="A6" i="17"/>
  <c r="A52" i="17"/>
  <c r="A75" i="17"/>
  <c r="A43" i="17"/>
  <c r="AF4" i="17"/>
  <c r="AF5" i="17"/>
  <c r="AF6" i="17"/>
  <c r="AF7" i="17"/>
  <c r="AF8" i="17"/>
  <c r="AF9" i="17"/>
  <c r="AF10" i="17"/>
  <c r="AF11" i="17"/>
  <c r="AF12" i="17"/>
  <c r="AF13" i="17"/>
  <c r="AF14" i="17"/>
  <c r="AF15" i="17"/>
  <c r="AF16" i="17"/>
  <c r="AF17" i="17"/>
  <c r="AF18" i="17"/>
  <c r="AF19" i="17"/>
  <c r="AF20" i="17"/>
  <c r="AF22" i="17"/>
  <c r="AF24" i="17"/>
  <c r="AF25" i="17"/>
  <c r="AF26" i="17"/>
  <c r="AF27" i="17"/>
  <c r="AF29" i="17"/>
  <c r="AF30" i="17"/>
  <c r="AF31" i="17"/>
  <c r="AF32" i="17"/>
  <c r="AF33" i="17"/>
  <c r="AF34" i="17"/>
  <c r="AF35" i="17"/>
  <c r="AF36" i="17"/>
  <c r="AF37" i="17"/>
  <c r="AF38" i="17"/>
  <c r="AF39" i="17"/>
  <c r="AF40" i="17"/>
  <c r="AF41" i="17"/>
  <c r="AF42" i="17"/>
  <c r="AF43" i="17"/>
  <c r="AF44" i="17"/>
  <c r="AF45" i="17"/>
  <c r="AF46" i="17"/>
  <c r="AF47" i="17"/>
  <c r="AF48" i="17"/>
  <c r="AF49" i="17"/>
  <c r="AF50" i="17"/>
  <c r="AF51" i="17"/>
  <c r="AF52" i="17"/>
  <c r="AF53" i="17"/>
  <c r="AF54" i="17"/>
  <c r="AF55" i="17"/>
  <c r="AF56" i="17"/>
  <c r="AF57" i="17"/>
  <c r="AF58" i="17"/>
  <c r="AF59" i="17"/>
  <c r="AF60" i="17"/>
  <c r="AF61" i="17"/>
  <c r="AF62" i="17"/>
  <c r="AF63" i="17"/>
  <c r="AF64" i="17"/>
  <c r="AF65" i="17"/>
  <c r="AF66" i="17"/>
  <c r="AF67" i="17"/>
  <c r="AF68" i="17"/>
  <c r="AF69" i="17"/>
  <c r="AF70" i="17"/>
  <c r="AF71" i="17"/>
  <c r="AF72" i="17"/>
  <c r="AF73" i="17"/>
  <c r="AF74" i="17"/>
  <c r="AF75" i="17"/>
  <c r="AF76" i="17"/>
  <c r="AF77" i="17"/>
  <c r="AF78" i="17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F67" i="21"/>
  <c r="L4" i="17"/>
  <c r="M4" i="17"/>
  <c r="N4" i="17"/>
  <c r="O4" i="17"/>
  <c r="P4" i="17"/>
  <c r="L5" i="17"/>
  <c r="M5" i="17"/>
  <c r="N5" i="17"/>
  <c r="O5" i="17"/>
  <c r="P5" i="17"/>
  <c r="L6" i="17"/>
  <c r="M6" i="17"/>
  <c r="N6" i="17"/>
  <c r="O6" i="17"/>
  <c r="P6" i="17"/>
  <c r="L7" i="17"/>
  <c r="M7" i="17"/>
  <c r="N7" i="17"/>
  <c r="O7" i="17"/>
  <c r="P7" i="17"/>
  <c r="L8" i="17"/>
  <c r="M8" i="17"/>
  <c r="N8" i="17"/>
  <c r="O8" i="17"/>
  <c r="P8" i="17"/>
  <c r="L9" i="17"/>
  <c r="M9" i="17"/>
  <c r="N9" i="17"/>
  <c r="O9" i="17"/>
  <c r="P9" i="17"/>
  <c r="L10" i="17"/>
  <c r="M10" i="17"/>
  <c r="N10" i="17"/>
  <c r="O10" i="17"/>
  <c r="P10" i="17"/>
  <c r="L11" i="17"/>
  <c r="M11" i="17"/>
  <c r="N11" i="17"/>
  <c r="O11" i="17"/>
  <c r="P11" i="17"/>
  <c r="L12" i="17"/>
  <c r="M12" i="17"/>
  <c r="N12" i="17"/>
  <c r="O12" i="17"/>
  <c r="P12" i="17"/>
  <c r="L13" i="17"/>
  <c r="M13" i="17"/>
  <c r="N13" i="17"/>
  <c r="O13" i="17"/>
  <c r="P13" i="17"/>
  <c r="L14" i="17"/>
  <c r="M14" i="17"/>
  <c r="N14" i="17"/>
  <c r="O14" i="17"/>
  <c r="P14" i="17"/>
  <c r="L15" i="17"/>
  <c r="M15" i="17"/>
  <c r="N15" i="17"/>
  <c r="O15" i="17"/>
  <c r="P15" i="17"/>
  <c r="L16" i="17"/>
  <c r="M16" i="17"/>
  <c r="N16" i="17"/>
  <c r="O16" i="17"/>
  <c r="P16" i="17"/>
  <c r="L17" i="17"/>
  <c r="M17" i="17"/>
  <c r="N17" i="17"/>
  <c r="O17" i="17"/>
  <c r="P17" i="17"/>
  <c r="L18" i="17"/>
  <c r="M18" i="17"/>
  <c r="N18" i="17"/>
  <c r="O18" i="17"/>
  <c r="P18" i="17"/>
  <c r="L19" i="17"/>
  <c r="M19" i="17"/>
  <c r="N19" i="17"/>
  <c r="O19" i="17"/>
  <c r="P19" i="17"/>
  <c r="L20" i="17"/>
  <c r="M20" i="17"/>
  <c r="N20" i="17"/>
  <c r="O20" i="17"/>
  <c r="P20" i="17"/>
  <c r="L21" i="17"/>
  <c r="M21" i="17"/>
  <c r="N21" i="17"/>
  <c r="O21" i="17"/>
  <c r="P21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L22" i="17"/>
  <c r="M22" i="17"/>
  <c r="N22" i="17"/>
  <c r="O22" i="17"/>
  <c r="P22" i="17"/>
  <c r="L23" i="17"/>
  <c r="M23" i="17"/>
  <c r="N23" i="17"/>
  <c r="O23" i="17"/>
  <c r="P23" i="17"/>
  <c r="L24" i="17"/>
  <c r="M24" i="17"/>
  <c r="N24" i="17"/>
  <c r="O24" i="17"/>
  <c r="P24" i="17"/>
  <c r="L25" i="17"/>
  <c r="M25" i="17"/>
  <c r="N25" i="17"/>
  <c r="O25" i="17"/>
  <c r="P25" i="17"/>
  <c r="L26" i="17"/>
  <c r="M26" i="17"/>
  <c r="N26" i="17"/>
  <c r="O26" i="17"/>
  <c r="P26" i="17"/>
  <c r="L27" i="17"/>
  <c r="M27" i="17"/>
  <c r="N27" i="17"/>
  <c r="O27" i="17"/>
  <c r="P27" i="17"/>
  <c r="L28" i="17"/>
  <c r="M28" i="17"/>
  <c r="N28" i="17"/>
  <c r="O28" i="17"/>
  <c r="P28" i="17"/>
  <c r="L29" i="17"/>
  <c r="M29" i="17"/>
  <c r="N29" i="17"/>
  <c r="O29" i="17"/>
  <c r="P29" i="17"/>
  <c r="L30" i="17"/>
  <c r="M30" i="17"/>
  <c r="N30" i="17"/>
  <c r="O30" i="17"/>
  <c r="P30" i="17"/>
  <c r="L31" i="17"/>
  <c r="M31" i="17"/>
  <c r="N31" i="17"/>
  <c r="O31" i="17"/>
  <c r="P31" i="17"/>
  <c r="L32" i="17"/>
  <c r="M32" i="17"/>
  <c r="N32" i="17"/>
  <c r="O32" i="17"/>
  <c r="P32" i="17"/>
  <c r="L33" i="17"/>
  <c r="M33" i="17"/>
  <c r="N33" i="17"/>
  <c r="O33" i="17"/>
  <c r="P33" i="17"/>
  <c r="L34" i="17"/>
  <c r="M34" i="17"/>
  <c r="N34" i="17"/>
  <c r="O34" i="17"/>
  <c r="P34" i="17"/>
  <c r="L35" i="17"/>
  <c r="M35" i="17"/>
  <c r="N35" i="17"/>
  <c r="O35" i="17"/>
  <c r="P35" i="17"/>
  <c r="L36" i="17"/>
  <c r="M36" i="17"/>
  <c r="N36" i="17"/>
  <c r="O36" i="17"/>
  <c r="P36" i="17"/>
  <c r="L37" i="17"/>
  <c r="M37" i="17"/>
  <c r="N37" i="17"/>
  <c r="O37" i="17"/>
  <c r="P37" i="17"/>
  <c r="L38" i="17"/>
  <c r="M38" i="17"/>
  <c r="N38" i="17"/>
  <c r="O38" i="17"/>
  <c r="P38" i="17"/>
  <c r="L39" i="17"/>
  <c r="M39" i="17"/>
  <c r="N39" i="17"/>
  <c r="O39" i="17"/>
  <c r="P39" i="17"/>
  <c r="L40" i="17"/>
  <c r="M40" i="17"/>
  <c r="N40" i="17"/>
  <c r="O40" i="17"/>
  <c r="P40" i="17"/>
  <c r="L41" i="17"/>
  <c r="M41" i="17"/>
  <c r="N41" i="17"/>
  <c r="O41" i="17"/>
  <c r="P41" i="17"/>
  <c r="L42" i="17"/>
  <c r="M42" i="17"/>
  <c r="N42" i="17"/>
  <c r="O42" i="17"/>
  <c r="P42" i="17"/>
  <c r="L43" i="17"/>
  <c r="M43" i="17"/>
  <c r="N43" i="17"/>
  <c r="O43" i="17"/>
  <c r="P43" i="17"/>
  <c r="L44" i="17"/>
  <c r="M44" i="17"/>
  <c r="N44" i="17"/>
  <c r="O44" i="17"/>
  <c r="P44" i="17"/>
  <c r="L45" i="17"/>
  <c r="M45" i="17"/>
  <c r="N45" i="17"/>
  <c r="O45" i="17"/>
  <c r="P45" i="17"/>
  <c r="L46" i="17"/>
  <c r="M46" i="17"/>
  <c r="N46" i="17"/>
  <c r="O46" i="17"/>
  <c r="P46" i="17"/>
  <c r="L47" i="17"/>
  <c r="M47" i="17"/>
  <c r="N47" i="17"/>
  <c r="O47" i="17"/>
  <c r="P47" i="17"/>
  <c r="L48" i="17"/>
  <c r="M48" i="17"/>
  <c r="N48" i="17"/>
  <c r="O48" i="17"/>
  <c r="P48" i="17"/>
  <c r="L49" i="17"/>
  <c r="M49" i="17"/>
  <c r="N49" i="17"/>
  <c r="O49" i="17"/>
  <c r="P49" i="17"/>
  <c r="L50" i="17"/>
  <c r="M50" i="17"/>
  <c r="N50" i="17"/>
  <c r="O50" i="17"/>
  <c r="P50" i="17"/>
  <c r="L51" i="17"/>
  <c r="M51" i="17"/>
  <c r="N51" i="17"/>
  <c r="O51" i="17"/>
  <c r="P51" i="17"/>
  <c r="L52" i="17"/>
  <c r="M52" i="17"/>
  <c r="N52" i="17"/>
  <c r="O52" i="17"/>
  <c r="P52" i="17"/>
  <c r="L53" i="17"/>
  <c r="M53" i="17"/>
  <c r="N53" i="17"/>
  <c r="O53" i="17"/>
  <c r="P53" i="17"/>
  <c r="L54" i="17"/>
  <c r="M54" i="17"/>
  <c r="N54" i="17"/>
  <c r="O54" i="17"/>
  <c r="P54" i="17"/>
  <c r="L55" i="17"/>
  <c r="M55" i="17"/>
  <c r="N55" i="17"/>
  <c r="O55" i="17"/>
  <c r="P55" i="17"/>
  <c r="L56" i="17"/>
  <c r="M56" i="17"/>
  <c r="N56" i="17"/>
  <c r="O56" i="17"/>
  <c r="P56" i="17"/>
  <c r="L58" i="17"/>
  <c r="M58" i="17"/>
  <c r="N58" i="17"/>
  <c r="O58" i="17"/>
  <c r="P58" i="17"/>
  <c r="L59" i="17"/>
  <c r="M59" i="17"/>
  <c r="N59" i="17"/>
  <c r="O59" i="17"/>
  <c r="P59" i="17"/>
  <c r="L60" i="17"/>
  <c r="M60" i="17"/>
  <c r="N60" i="17"/>
  <c r="O60" i="17"/>
  <c r="P60" i="17"/>
  <c r="L61" i="17"/>
  <c r="M61" i="17"/>
  <c r="N61" i="17"/>
  <c r="O61" i="17"/>
  <c r="P61" i="17"/>
  <c r="L62" i="17"/>
  <c r="M62" i="17"/>
  <c r="N62" i="17"/>
  <c r="O62" i="17"/>
  <c r="P62" i="17"/>
  <c r="L63" i="17"/>
  <c r="M63" i="17"/>
  <c r="N63" i="17"/>
  <c r="O63" i="17"/>
  <c r="P63" i="17"/>
  <c r="L64" i="17"/>
  <c r="M64" i="17"/>
  <c r="N64" i="17"/>
  <c r="O64" i="17"/>
  <c r="P64" i="17"/>
  <c r="L65" i="17"/>
  <c r="M65" i="17"/>
  <c r="N65" i="17"/>
  <c r="O65" i="17"/>
  <c r="P65" i="17"/>
  <c r="L66" i="17"/>
  <c r="M66" i="17"/>
  <c r="N66" i="17"/>
  <c r="O66" i="17"/>
  <c r="P66" i="17"/>
  <c r="L67" i="17"/>
  <c r="M67" i="17"/>
  <c r="N67" i="17"/>
  <c r="O67" i="17"/>
  <c r="P67" i="17"/>
  <c r="L68" i="17"/>
  <c r="M68" i="17"/>
  <c r="N68" i="17"/>
  <c r="O68" i="17"/>
  <c r="P68" i="17"/>
  <c r="L69" i="17"/>
  <c r="M69" i="17"/>
  <c r="N69" i="17"/>
  <c r="O69" i="17"/>
  <c r="P69" i="17"/>
  <c r="L70" i="17"/>
  <c r="M70" i="17"/>
  <c r="N70" i="17"/>
  <c r="O70" i="17"/>
  <c r="P70" i="17"/>
  <c r="L71" i="17"/>
  <c r="M71" i="17"/>
  <c r="N71" i="17"/>
  <c r="O71" i="17"/>
  <c r="P71" i="17"/>
  <c r="L72" i="17"/>
  <c r="M72" i="17"/>
  <c r="N72" i="17"/>
  <c r="O72" i="17"/>
  <c r="P72" i="17"/>
  <c r="L73" i="17"/>
  <c r="M73" i="17"/>
  <c r="N73" i="17"/>
  <c r="O73" i="17"/>
  <c r="P73" i="17"/>
  <c r="L74" i="17"/>
  <c r="M74" i="17"/>
  <c r="N74" i="17"/>
  <c r="O74" i="17"/>
  <c r="P74" i="17"/>
  <c r="L75" i="17"/>
  <c r="M75" i="17"/>
  <c r="N75" i="17"/>
  <c r="O75" i="17"/>
  <c r="P75" i="17"/>
  <c r="L76" i="17"/>
  <c r="M76" i="17"/>
  <c r="N76" i="17"/>
  <c r="O76" i="17"/>
  <c r="P76" i="17"/>
  <c r="L77" i="17"/>
  <c r="M77" i="17"/>
  <c r="N77" i="17"/>
  <c r="O77" i="17"/>
  <c r="P77" i="17"/>
  <c r="L78" i="17"/>
  <c r="M78" i="17"/>
  <c r="N78" i="17"/>
  <c r="O78" i="17"/>
  <c r="P78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2" i="17"/>
  <c r="K53" i="17"/>
  <c r="K54" i="17"/>
  <c r="K55" i="17"/>
  <c r="K56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21" i="17"/>
  <c r="AN2" i="4"/>
  <c r="AO2" i="4"/>
  <c r="AP2" i="4"/>
  <c r="AQ2" i="4"/>
  <c r="AN3" i="4"/>
  <c r="AO3" i="4"/>
  <c r="AP3" i="4"/>
  <c r="AQ3" i="4"/>
  <c r="AN4" i="4"/>
  <c r="AO4" i="4"/>
  <c r="AP4" i="4"/>
  <c r="AQ4" i="4"/>
  <c r="AN5" i="4"/>
  <c r="AO5" i="4"/>
  <c r="AP5" i="4"/>
  <c r="AQ5" i="4"/>
  <c r="AN6" i="4"/>
  <c r="AO6" i="4"/>
  <c r="AP6" i="4"/>
  <c r="AQ6" i="4"/>
  <c r="AN7" i="4"/>
  <c r="AO7" i="4"/>
  <c r="AP7" i="4"/>
  <c r="AQ7" i="4"/>
  <c r="AN8" i="4"/>
  <c r="AO8" i="4"/>
  <c r="AP8" i="4"/>
  <c r="AQ8" i="4"/>
  <c r="AN9" i="4"/>
  <c r="AO9" i="4"/>
  <c r="AP9" i="4"/>
  <c r="AQ9" i="4"/>
  <c r="AN10" i="4"/>
  <c r="AO10" i="4"/>
  <c r="AP10" i="4"/>
  <c r="AQ10" i="4"/>
  <c r="AN11" i="4"/>
  <c r="AO11" i="4"/>
  <c r="AP11" i="4"/>
  <c r="AQ11" i="4"/>
  <c r="AN12" i="4"/>
  <c r="AO12" i="4"/>
  <c r="AP12" i="4"/>
  <c r="AQ12" i="4"/>
  <c r="AN13" i="4"/>
  <c r="AO13" i="4"/>
  <c r="AP13" i="4"/>
  <c r="AQ13" i="4"/>
  <c r="AN14" i="4"/>
  <c r="AO14" i="4"/>
  <c r="AP14" i="4"/>
  <c r="AQ14" i="4"/>
  <c r="AN15" i="4"/>
  <c r="AO15" i="4"/>
  <c r="AP15" i="4"/>
  <c r="AQ15" i="4"/>
  <c r="AN16" i="4"/>
  <c r="AO16" i="4"/>
  <c r="AP16" i="4"/>
  <c r="AQ16" i="4"/>
  <c r="AN17" i="4"/>
  <c r="AO17" i="4"/>
  <c r="AP17" i="4"/>
  <c r="AQ17" i="4"/>
  <c r="AN18" i="4"/>
  <c r="AO18" i="4"/>
  <c r="AP18" i="4"/>
  <c r="AQ18" i="4"/>
  <c r="AN19" i="4"/>
  <c r="AO19" i="4"/>
  <c r="AP19" i="4"/>
  <c r="AQ19" i="4"/>
  <c r="AN20" i="4"/>
  <c r="AO20" i="4"/>
  <c r="AP20" i="4"/>
  <c r="AQ20" i="4"/>
  <c r="AN21" i="4"/>
  <c r="AO21" i="4"/>
  <c r="AP21" i="4"/>
  <c r="AQ21" i="4"/>
  <c r="AM2" i="4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6" i="16"/>
  <c r="AJ131" i="15"/>
  <c r="AJ132" i="15"/>
  <c r="AJ133" i="15"/>
  <c r="AJ134" i="15"/>
  <c r="AJ135" i="15"/>
  <c r="AJ136" i="15"/>
  <c r="AJ137" i="15"/>
  <c r="AJ138" i="15"/>
  <c r="F101" i="15"/>
  <c r="AJ100" i="15" s="1"/>
  <c r="F102" i="15"/>
  <c r="AJ101" i="15" s="1"/>
  <c r="F103" i="15"/>
  <c r="AJ102" i="15" s="1"/>
  <c r="F104" i="15"/>
  <c r="AJ103" i="15" s="1"/>
  <c r="F105" i="15"/>
  <c r="AJ104" i="15" s="1"/>
  <c r="F106" i="15"/>
  <c r="F107" i="15"/>
  <c r="AJ106" i="15" s="1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AJ118" i="15" s="1"/>
  <c r="F120" i="15"/>
  <c r="AJ119" i="15" s="1"/>
  <c r="F121" i="15"/>
  <c r="AJ120" i="15" s="1"/>
  <c r="F122" i="15"/>
  <c r="AJ121" i="15" s="1"/>
  <c r="F123" i="15"/>
  <c r="AJ122" i="15" s="1"/>
  <c r="F124" i="15"/>
  <c r="AJ123" i="15" s="1"/>
  <c r="F125" i="15"/>
  <c r="AJ124" i="15" s="1"/>
  <c r="F126" i="15"/>
  <c r="AJ125" i="15" s="1"/>
  <c r="F127" i="15"/>
  <c r="AJ126" i="15" s="1"/>
  <c r="F128" i="15"/>
  <c r="AJ127" i="15" s="1"/>
  <c r="F129" i="15"/>
  <c r="AJ128" i="15" s="1"/>
  <c r="F130" i="15"/>
  <c r="F131" i="15"/>
  <c r="AJ130" i="15" s="1"/>
  <c r="F132" i="15"/>
  <c r="F133" i="15"/>
  <c r="F134" i="15"/>
  <c r="F135" i="15"/>
  <c r="F136" i="15"/>
  <c r="F137" i="15"/>
  <c r="F138" i="15"/>
  <c r="F100" i="15"/>
  <c r="AJ99" i="15" s="1"/>
  <c r="AJ105" i="15"/>
  <c r="AJ107" i="15"/>
  <c r="AJ108" i="15"/>
  <c r="AJ109" i="15"/>
  <c r="AJ110" i="15"/>
  <c r="AJ111" i="15"/>
  <c r="AJ112" i="15"/>
  <c r="AJ113" i="15"/>
  <c r="AJ114" i="15"/>
  <c r="AJ115" i="15"/>
  <c r="AJ116" i="15"/>
  <c r="AJ117" i="15"/>
  <c r="AJ129" i="15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07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08" i="14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00" i="15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08" i="14"/>
  <c r="D7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AQ35" i="13"/>
  <c r="AR35" i="13"/>
  <c r="AS35" i="13"/>
  <c r="AT35" i="13"/>
  <c r="AU35" i="13"/>
  <c r="AP35" i="13"/>
  <c r="F36" i="13"/>
  <c r="AP3" i="13"/>
  <c r="AP53" i="12"/>
  <c r="AP54" i="12"/>
  <c r="AP50" i="12"/>
  <c r="AP51" i="12"/>
  <c r="AP52" i="12"/>
  <c r="AP47" i="12"/>
  <c r="AP48" i="12"/>
  <c r="AP49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AP46" i="12" s="1"/>
  <c r="L48" i="12"/>
  <c r="L49" i="12"/>
  <c r="L50" i="12"/>
  <c r="L51" i="12"/>
  <c r="L52" i="12"/>
  <c r="L53" i="12"/>
  <c r="L54" i="12"/>
  <c r="AP26" i="12"/>
  <c r="AP27" i="12"/>
  <c r="AP28" i="12"/>
  <c r="AP29" i="12"/>
  <c r="AP30" i="12"/>
  <c r="AP31" i="12"/>
  <c r="AP32" i="12"/>
  <c r="AP33" i="12"/>
  <c r="AP34" i="12"/>
  <c r="AP35" i="12"/>
  <c r="AP36" i="12"/>
  <c r="AP37" i="12"/>
  <c r="AP38" i="12"/>
  <c r="AP39" i="12"/>
  <c r="AP40" i="12"/>
  <c r="AP41" i="12"/>
  <c r="AP42" i="12"/>
  <c r="AP43" i="12"/>
  <c r="AP44" i="12"/>
  <c r="AP45" i="12"/>
  <c r="AP25" i="12"/>
  <c r="L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26" i="12"/>
  <c r="D36" i="13"/>
  <c r="BB3" i="13"/>
  <c r="BC3" i="13"/>
  <c r="BD3" i="13"/>
  <c r="BE3" i="13"/>
  <c r="BF3" i="13"/>
  <c r="BG3" i="13"/>
  <c r="AW3" i="13"/>
  <c r="AX3" i="13"/>
  <c r="AY3" i="13"/>
  <c r="AZ3" i="13"/>
  <c r="BA3" i="13"/>
  <c r="AV3" i="13"/>
  <c r="AQ3" i="13"/>
  <c r="AR3" i="13"/>
  <c r="AS3" i="13"/>
  <c r="AT3" i="13"/>
  <c r="AU3" i="13"/>
  <c r="K3" i="12"/>
  <c r="Y3" i="13"/>
  <c r="Z3" i="13"/>
  <c r="AA3" i="13"/>
  <c r="AB3" i="13"/>
  <c r="AC3" i="13"/>
  <c r="X3" i="13"/>
  <c r="AQ3" i="12"/>
  <c r="AR3" i="12"/>
  <c r="AS3" i="12"/>
  <c r="AT3" i="12"/>
  <c r="AU3" i="12"/>
  <c r="BB3" i="12"/>
  <c r="BD3" i="12"/>
  <c r="BE3" i="12"/>
  <c r="BF3" i="12"/>
  <c r="BG3" i="12"/>
  <c r="U3" i="12" s="1"/>
  <c r="O3" i="12" s="1"/>
  <c r="BC3" i="12"/>
  <c r="AD3" i="12"/>
  <c r="W3" i="12"/>
  <c r="AM3" i="12"/>
  <c r="AL3" i="12"/>
  <c r="AK3" i="12"/>
  <c r="AJ3" i="12"/>
  <c r="AN3" i="12"/>
  <c r="AO3" i="12"/>
  <c r="X3" i="12"/>
  <c r="Y3" i="12"/>
  <c r="Z3" i="12"/>
  <c r="AA3" i="12"/>
  <c r="AB3" i="12"/>
  <c r="AC3" i="12"/>
  <c r="E44" i="21" l="1"/>
  <c r="F44" i="21"/>
  <c r="G44" i="21"/>
  <c r="H44" i="21"/>
  <c r="I44" i="21"/>
  <c r="J44" i="21"/>
  <c r="AQ21" i="21" a="1"/>
  <c r="AQ21" i="21" s="1"/>
  <c r="AQ34" i="21" a="1"/>
  <c r="AQ34" i="21" s="1"/>
  <c r="I30" i="21"/>
  <c r="G32" i="21"/>
  <c r="G50" i="21"/>
  <c r="I50" i="21"/>
  <c r="F50" i="21"/>
  <c r="H50" i="21"/>
  <c r="E50" i="21"/>
  <c r="J50" i="21"/>
  <c r="E51" i="21"/>
  <c r="I51" i="21"/>
  <c r="F51" i="21"/>
  <c r="H51" i="21"/>
  <c r="G51" i="21"/>
  <c r="J51" i="21"/>
  <c r="E48" i="21"/>
  <c r="G48" i="21"/>
  <c r="J48" i="21"/>
  <c r="F48" i="21"/>
  <c r="H48" i="21"/>
  <c r="I48" i="21"/>
  <c r="AQ32" i="21" a="1"/>
  <c r="AQ32" i="21" s="1"/>
  <c r="AQ73" i="21" a="1"/>
  <c r="AQ73" i="21" s="1"/>
  <c r="AQ28" i="21" a="1"/>
  <c r="AQ28" i="21" s="1"/>
  <c r="AQ13" i="21" a="1"/>
  <c r="AQ13" i="21" s="1"/>
  <c r="AQ26" i="21" a="1"/>
  <c r="AQ26" i="21" s="1"/>
  <c r="AQ7" i="21" a="1"/>
  <c r="AQ7" i="21" s="1"/>
  <c r="AQ31" i="21" a="1"/>
  <c r="AQ31" i="21" s="1"/>
  <c r="AQ48" i="21" a="1"/>
  <c r="AQ48" i="21" s="1"/>
  <c r="AQ71" i="21" a="1"/>
  <c r="AQ71" i="21" s="1"/>
  <c r="AQ77" i="21" a="1"/>
  <c r="AQ77" i="21" s="1"/>
  <c r="AQ54" i="21" a="1"/>
  <c r="AQ54" i="21" s="1"/>
  <c r="AQ59" i="21" a="1"/>
  <c r="AQ59" i="21" s="1"/>
  <c r="AQ46" i="21" a="1"/>
  <c r="AQ46" i="21" s="1"/>
  <c r="AQ62" i="21" a="1"/>
  <c r="AQ62" i="21" s="1"/>
  <c r="AQ37" i="21" a="1"/>
  <c r="AQ37" i="21" s="1"/>
  <c r="AQ58" i="21" a="1"/>
  <c r="AQ58" i="21" s="1"/>
  <c r="AQ36" i="21" a="1"/>
  <c r="AQ36" i="21" s="1"/>
  <c r="AQ18" i="21" a="1"/>
  <c r="AQ18" i="21" s="1"/>
  <c r="AQ41" i="21" a="1"/>
  <c r="AQ41" i="21" s="1"/>
  <c r="AQ55" i="21" a="1"/>
  <c r="AQ55" i="21" s="1"/>
  <c r="AQ27" i="21" a="1"/>
  <c r="AQ27" i="21" s="1"/>
  <c r="AQ24" i="21" a="1"/>
  <c r="AQ24" i="21" s="1"/>
  <c r="AQ52" i="21" a="1"/>
  <c r="AQ52" i="21" s="1"/>
  <c r="AQ39" i="21" a="1"/>
  <c r="AQ39" i="21" s="1"/>
  <c r="AQ4" i="21" a="1"/>
  <c r="AQ4" i="21" s="1"/>
  <c r="AQ16" i="21" a="1"/>
  <c r="AQ16" i="21" s="1"/>
  <c r="AQ63" i="21" a="1"/>
  <c r="AQ63" i="21" s="1"/>
  <c r="AQ8" i="21" a="1"/>
  <c r="AQ8" i="21" s="1"/>
  <c r="AQ42" i="21" a="1"/>
  <c r="AQ42" i="21" s="1"/>
  <c r="AQ25" i="21" a="1"/>
  <c r="AQ25" i="21" s="1"/>
  <c r="AQ17" i="21" a="1"/>
  <c r="AQ17" i="21" s="1"/>
  <c r="AQ65" i="21" a="1"/>
  <c r="AQ65" i="21" s="1"/>
  <c r="AQ40" i="21" a="1"/>
  <c r="AQ40" i="21" s="1"/>
  <c r="AQ38" i="21" a="1"/>
  <c r="AQ38" i="21" s="1"/>
  <c r="AQ64" i="21" a="1"/>
  <c r="AQ64" i="21" s="1"/>
  <c r="AQ6" i="21" a="1"/>
  <c r="AQ6" i="21" s="1"/>
  <c r="AQ10" i="21" a="1"/>
  <c r="AQ10" i="21" s="1"/>
  <c r="AQ14" i="21" a="1"/>
  <c r="AQ14" i="21" s="1"/>
  <c r="AQ12" i="21" a="1"/>
  <c r="AQ12" i="21" s="1"/>
  <c r="AQ56" i="21" a="1"/>
  <c r="AQ56" i="21" s="1"/>
  <c r="H31" i="21"/>
  <c r="AQ30" i="21" a="1"/>
  <c r="AQ30" i="21" s="1"/>
  <c r="AQ57" i="21" a="1"/>
  <c r="AQ57" i="21" s="1"/>
  <c r="AQ75" i="21" a="1"/>
  <c r="AQ75" i="21" s="1"/>
  <c r="AQ9" i="21" a="1"/>
  <c r="AQ9" i="21" s="1"/>
  <c r="AQ51" i="21" a="1"/>
  <c r="AQ51" i="21" s="1"/>
  <c r="AQ35" i="21" a="1"/>
  <c r="AQ35" i="21" s="1"/>
  <c r="AQ60" i="21" a="1"/>
  <c r="AQ60" i="21" s="1"/>
  <c r="AQ50" i="21" a="1"/>
  <c r="AQ50" i="21" s="1"/>
  <c r="AQ69" i="21" a="1"/>
  <c r="AQ69" i="21" s="1"/>
  <c r="AQ20" i="21" a="1"/>
  <c r="AQ20" i="21" s="1"/>
  <c r="AQ74" i="21" a="1"/>
  <c r="AQ74" i="21" s="1"/>
  <c r="AQ70" i="21" a="1"/>
  <c r="AQ70" i="21" s="1"/>
  <c r="G31" i="21"/>
  <c r="AQ76" i="21" a="1"/>
  <c r="AQ76" i="21" s="1"/>
  <c r="AQ72" i="21" a="1"/>
  <c r="AQ72" i="21" s="1"/>
  <c r="AQ47" i="21" a="1"/>
  <c r="AQ47" i="21" s="1"/>
  <c r="AQ43" i="21" a="1"/>
  <c r="AQ43" i="21" s="1"/>
  <c r="AQ53" i="21" a="1"/>
  <c r="AQ53" i="21" s="1"/>
  <c r="AQ49" i="21" a="1"/>
  <c r="AQ49" i="21" s="1"/>
  <c r="AQ33" i="21" a="1"/>
  <c r="AQ33" i="21" s="1"/>
  <c r="AQ22" i="21" a="1"/>
  <c r="AQ22" i="21" s="1"/>
  <c r="AQ67" i="21" a="1"/>
  <c r="AQ67" i="21" s="1"/>
  <c r="AQ68" i="21" a="1"/>
  <c r="AQ68" i="21" s="1"/>
  <c r="AQ44" i="21" a="1"/>
  <c r="AQ44" i="21" s="1"/>
  <c r="AQ23" i="21" a="1"/>
  <c r="AQ23" i="21" s="1"/>
  <c r="AQ45" i="21" a="1"/>
  <c r="AQ45" i="21" s="1"/>
  <c r="AQ19" i="21" a="1"/>
  <c r="AQ19" i="21" s="1"/>
  <c r="AQ11" i="21" a="1"/>
  <c r="AQ11" i="21" s="1"/>
  <c r="AQ66" i="21" a="1"/>
  <c r="AQ66" i="21" s="1"/>
  <c r="AQ61" i="21" a="1"/>
  <c r="AQ61" i="21" s="1"/>
  <c r="AQ5" i="21" a="1"/>
  <c r="AQ5" i="21" s="1"/>
  <c r="AQ15" i="21" a="1"/>
  <c r="AQ15" i="21" s="1"/>
  <c r="AQ29" i="21" a="1"/>
  <c r="AQ29" i="21" s="1"/>
  <c r="E72" i="21"/>
  <c r="F72" i="21"/>
  <c r="G72" i="21"/>
  <c r="H72" i="21"/>
  <c r="I72" i="21"/>
  <c r="J72" i="21"/>
  <c r="E60" i="21"/>
  <c r="F60" i="21"/>
  <c r="G60" i="21"/>
  <c r="H60" i="21"/>
  <c r="I60" i="21"/>
  <c r="J60" i="21"/>
  <c r="E47" i="21"/>
  <c r="F47" i="21"/>
  <c r="I47" i="21"/>
  <c r="G47" i="21"/>
  <c r="H47" i="21"/>
  <c r="J47" i="21"/>
  <c r="F31" i="21"/>
  <c r="E28" i="21"/>
  <c r="F28" i="21"/>
  <c r="G28" i="21"/>
  <c r="H28" i="21"/>
  <c r="I28" i="21"/>
  <c r="J28" i="21"/>
  <c r="E69" i="21"/>
  <c r="F69" i="21"/>
  <c r="G69" i="21"/>
  <c r="H69" i="21"/>
  <c r="I69" i="21"/>
  <c r="J69" i="21"/>
  <c r="E73" i="21"/>
  <c r="F73" i="21"/>
  <c r="G73" i="21"/>
  <c r="H73" i="21"/>
  <c r="I73" i="21"/>
  <c r="J73" i="21"/>
  <c r="E71" i="21"/>
  <c r="F71" i="21"/>
  <c r="G71" i="21"/>
  <c r="H71" i="21"/>
  <c r="J71" i="21"/>
  <c r="I71" i="21"/>
  <c r="I75" i="21"/>
  <c r="E75" i="21"/>
  <c r="F75" i="21"/>
  <c r="G75" i="21"/>
  <c r="H75" i="21"/>
  <c r="J75" i="21"/>
  <c r="E35" i="21"/>
  <c r="F35" i="21"/>
  <c r="G35" i="21"/>
  <c r="H35" i="21"/>
  <c r="J35" i="21"/>
  <c r="I35" i="21"/>
  <c r="I70" i="21"/>
  <c r="J70" i="21"/>
  <c r="E70" i="21"/>
  <c r="F70" i="21"/>
  <c r="G70" i="21"/>
  <c r="H70" i="21"/>
  <c r="E56" i="21"/>
  <c r="F56" i="21"/>
  <c r="G56" i="21"/>
  <c r="H56" i="21"/>
  <c r="I56" i="21"/>
  <c r="J56" i="21"/>
  <c r="E57" i="21"/>
  <c r="F57" i="21"/>
  <c r="G57" i="21"/>
  <c r="H57" i="21"/>
  <c r="I57" i="21"/>
  <c r="J57" i="21"/>
  <c r="I31" i="21"/>
  <c r="E53" i="21"/>
  <c r="F53" i="21"/>
  <c r="G53" i="21"/>
  <c r="H53" i="21"/>
  <c r="I53" i="21"/>
  <c r="J53" i="21"/>
  <c r="I42" i="21"/>
  <c r="J42" i="21"/>
  <c r="E42" i="21"/>
  <c r="F42" i="21"/>
  <c r="G42" i="21"/>
  <c r="H42" i="21"/>
  <c r="J31" i="21"/>
  <c r="E31" i="21"/>
  <c r="E67" i="21"/>
  <c r="G67" i="21"/>
  <c r="H67" i="21"/>
  <c r="J67" i="21"/>
  <c r="I67" i="21"/>
  <c r="I22" i="21"/>
  <c r="J22" i="21"/>
  <c r="E22" i="21"/>
  <c r="F22" i="21"/>
  <c r="G22" i="21"/>
  <c r="H22" i="21"/>
  <c r="E64" i="21"/>
  <c r="F64" i="21"/>
  <c r="G64" i="21"/>
  <c r="H64" i="21"/>
  <c r="I64" i="21"/>
  <c r="J64" i="21"/>
  <c r="I46" i="21"/>
  <c r="J46" i="21"/>
  <c r="E46" i="21"/>
  <c r="F46" i="21"/>
  <c r="G46" i="21"/>
  <c r="H46" i="21"/>
  <c r="E68" i="21"/>
  <c r="F68" i="21"/>
  <c r="G68" i="21"/>
  <c r="H68" i="21"/>
  <c r="I68" i="21"/>
  <c r="J68" i="21"/>
  <c r="I66" i="21"/>
  <c r="J66" i="21"/>
  <c r="E66" i="21"/>
  <c r="F66" i="21"/>
  <c r="G66" i="21"/>
  <c r="H66" i="21"/>
  <c r="I58" i="21"/>
  <c r="J58" i="21"/>
  <c r="E58" i="21"/>
  <c r="F58" i="21"/>
  <c r="G58" i="21"/>
  <c r="H58" i="21"/>
  <c r="E59" i="21"/>
  <c r="F59" i="21"/>
  <c r="G59" i="21"/>
  <c r="H59" i="21"/>
  <c r="J59" i="21"/>
  <c r="I59" i="21"/>
  <c r="I34" i="21"/>
  <c r="J34" i="21"/>
  <c r="E34" i="21"/>
  <c r="F34" i="21"/>
  <c r="G34" i="21"/>
  <c r="H34" i="21"/>
  <c r="E32" i="21"/>
  <c r="F32" i="21"/>
  <c r="H32" i="21"/>
  <c r="I32" i="21"/>
  <c r="J32" i="21"/>
  <c r="J30" i="21"/>
  <c r="E30" i="21"/>
  <c r="F30" i="21"/>
  <c r="G30" i="21"/>
  <c r="H30" i="21"/>
  <c r="AG8" i="17" a="1"/>
  <c r="AG8" i="17" s="1"/>
  <c r="AG12" i="17" a="1"/>
  <c r="AG12" i="17" s="1"/>
  <c r="AG15" i="17" a="1"/>
  <c r="AG15" i="17" s="1"/>
  <c r="AG58" i="17" a="1"/>
  <c r="AG58" i="17" s="1"/>
  <c r="AG6" i="17" a="1"/>
  <c r="AG6" i="17" s="1"/>
  <c r="AG21" i="17" a="1"/>
  <c r="AG21" i="17" s="1"/>
  <c r="AG9" i="17" a="1"/>
  <c r="AG9" i="17" s="1"/>
  <c r="AG19" i="17" a="1"/>
  <c r="AG19" i="17" s="1"/>
  <c r="AG7" i="17" a="1"/>
  <c r="AG7" i="17" s="1"/>
  <c r="AG13" i="17" a="1"/>
  <c r="AG13" i="17" s="1"/>
  <c r="AG5" i="17" a="1"/>
  <c r="AG5" i="17" s="1"/>
  <c r="AG10" i="17" a="1"/>
  <c r="AG10" i="17" s="1"/>
  <c r="AG17" i="17" a="1"/>
  <c r="AG17" i="17" s="1"/>
  <c r="AG3" i="17" a="1"/>
  <c r="AG3" i="17" s="1"/>
  <c r="AG11" i="17" a="1"/>
  <c r="AG11" i="17" s="1"/>
  <c r="AG14" i="17" a="1"/>
  <c r="AG14" i="17" s="1"/>
  <c r="AG4" i="17" a="1"/>
  <c r="AG4" i="17" s="1"/>
  <c r="AG18" i="17" a="1"/>
  <c r="AG18" i="17" s="1"/>
  <c r="AG16" i="17" a="1"/>
  <c r="AG16" i="17" s="1"/>
  <c r="AG20" i="17" a="1"/>
  <c r="AG20" i="17" s="1"/>
  <c r="AG32" i="17" a="1"/>
  <c r="AG32" i="17" s="1"/>
  <c r="AG29" i="17" a="1"/>
  <c r="AG29" i="17" s="1"/>
  <c r="AG62" i="17" a="1"/>
  <c r="AG62" i="17" s="1"/>
  <c r="AG41" i="17" a="1"/>
  <c r="AG41" i="17" s="1"/>
  <c r="AG55" i="17" a="1"/>
  <c r="AG55" i="17" s="1"/>
  <c r="AG34" i="17" a="1"/>
  <c r="AG34" i="17" s="1"/>
  <c r="AG50" i="17" a="1"/>
  <c r="AG50" i="17" s="1"/>
  <c r="AG40" i="17" a="1"/>
  <c r="AG40" i="17" s="1"/>
  <c r="AG26" i="17" a="1"/>
  <c r="AG26" i="17" s="1"/>
  <c r="AG38" i="17" a="1"/>
  <c r="AG38" i="17" s="1"/>
  <c r="AG74" i="17" a="1"/>
  <c r="AG74" i="17" s="1"/>
  <c r="AG75" i="17" a="1"/>
  <c r="AG75" i="17" s="1"/>
  <c r="AG77" i="17" a="1"/>
  <c r="AG77" i="17" s="1"/>
  <c r="AG45" i="17" a="1"/>
  <c r="AG45" i="17" s="1"/>
  <c r="AG69" i="17" a="1"/>
  <c r="AG69" i="17" s="1"/>
  <c r="AG42" i="17" a="1"/>
  <c r="AG42" i="17" s="1"/>
  <c r="AG60" i="17" a="1"/>
  <c r="AG60" i="17" s="1"/>
  <c r="AG27" i="17" a="1"/>
  <c r="AG27" i="17" s="1"/>
  <c r="AG49" i="17" a="1"/>
  <c r="AG49" i="17" s="1"/>
  <c r="AG68" i="17" a="1"/>
  <c r="AG68" i="17" s="1"/>
  <c r="AG66" i="17" a="1"/>
  <c r="AG66" i="17" s="1"/>
  <c r="AG30" i="17" a="1"/>
  <c r="AG30" i="17" s="1"/>
  <c r="AG46" i="17" a="1"/>
  <c r="AG46" i="17" s="1"/>
  <c r="AG24" i="17" a="1"/>
  <c r="AG24" i="17" s="1"/>
  <c r="AG37" i="17" a="1"/>
  <c r="AG37" i="17" s="1"/>
  <c r="AG61" i="17" a="1"/>
  <c r="AG61" i="17" s="1"/>
  <c r="AG48" i="17" a="1"/>
  <c r="AG48" i="17" s="1"/>
  <c r="AG25" i="17" a="1"/>
  <c r="AG25" i="17" s="1"/>
  <c r="AG54" i="17" a="1"/>
  <c r="AG54" i="17" s="1"/>
  <c r="AG71" i="17" a="1"/>
  <c r="AG71" i="17" s="1"/>
  <c r="AG51" i="17" a="1"/>
  <c r="AG51" i="17" s="1"/>
  <c r="AG57" i="17" a="1"/>
  <c r="AG57" i="17" s="1"/>
  <c r="AG47" i="17" a="1"/>
  <c r="AG47" i="17" s="1"/>
  <c r="AG52" i="17" a="1"/>
  <c r="AG52" i="17" s="1"/>
  <c r="AG36" i="17" a="1"/>
  <c r="AG36" i="17" s="1"/>
  <c r="AG67" i="17" a="1"/>
  <c r="AG67" i="17" s="1"/>
  <c r="AG59" i="17" a="1"/>
  <c r="AG59" i="17" s="1"/>
  <c r="AG33" i="17" a="1"/>
  <c r="AG33" i="17" s="1"/>
  <c r="AG44" i="17" a="1"/>
  <c r="AG44" i="17" s="1"/>
  <c r="AG31" i="17" a="1"/>
  <c r="AG31" i="17" s="1"/>
  <c r="AG63" i="17" a="1"/>
  <c r="AG63" i="17" s="1"/>
  <c r="AG64" i="17" a="1"/>
  <c r="AG64" i="17" s="1"/>
  <c r="AG39" i="17" a="1"/>
  <c r="AG39" i="17" s="1"/>
  <c r="AG65" i="17" a="1"/>
  <c r="AG65" i="17" s="1"/>
  <c r="AG22" i="17" a="1"/>
  <c r="AG22" i="17" s="1"/>
  <c r="AG28" i="17" a="1"/>
  <c r="AG28" i="17" s="1"/>
  <c r="AG78" i="17" a="1"/>
  <c r="AG78" i="17" s="1"/>
  <c r="AG23" i="17" a="1"/>
  <c r="AG23" i="17" s="1"/>
  <c r="AG43" i="17" a="1"/>
  <c r="AG43" i="17" s="1"/>
  <c r="AG56" i="17" a="1"/>
  <c r="AG56" i="17" s="1"/>
  <c r="AG76" i="17" a="1"/>
  <c r="AG76" i="17" s="1"/>
  <c r="AG35" i="17" a="1"/>
  <c r="AG35" i="17" s="1"/>
  <c r="AG53" i="17" a="1"/>
  <c r="AG53" i="17" s="1"/>
  <c r="AG73" i="17" a="1"/>
  <c r="AG73" i="17" s="1"/>
  <c r="AG72" i="17" a="1"/>
  <c r="AG72" i="17" s="1"/>
  <c r="AG70" i="17" a="1"/>
  <c r="AG70" i="17" s="1"/>
  <c r="I31" i="17"/>
  <c r="F46" i="17"/>
  <c r="G46" i="17"/>
  <c r="E46" i="17"/>
  <c r="H46" i="17"/>
  <c r="J46" i="17"/>
  <c r="I46" i="17"/>
  <c r="E69" i="17"/>
  <c r="F69" i="17"/>
  <c r="G69" i="17"/>
  <c r="H69" i="17"/>
  <c r="I69" i="17"/>
  <c r="J69" i="17"/>
  <c r="I67" i="17"/>
  <c r="H67" i="17"/>
  <c r="F67" i="17"/>
  <c r="J67" i="17"/>
  <c r="E67" i="17"/>
  <c r="G67" i="17"/>
  <c r="G34" i="17"/>
  <c r="F34" i="17"/>
  <c r="E34" i="17"/>
  <c r="H34" i="17"/>
  <c r="J34" i="17"/>
  <c r="I34" i="17"/>
  <c r="G50" i="17"/>
  <c r="E50" i="17"/>
  <c r="F50" i="17"/>
  <c r="H50" i="17"/>
  <c r="I50" i="17"/>
  <c r="J50" i="17"/>
  <c r="E32" i="17"/>
  <c r="G32" i="17"/>
  <c r="H32" i="17"/>
  <c r="I32" i="17"/>
  <c r="J32" i="17"/>
  <c r="F32" i="17"/>
  <c r="G68" i="17"/>
  <c r="E68" i="17"/>
  <c r="F68" i="17"/>
  <c r="J68" i="17"/>
  <c r="I68" i="17"/>
  <c r="H68" i="17"/>
  <c r="E65" i="17"/>
  <c r="F65" i="17"/>
  <c r="G65" i="17"/>
  <c r="J65" i="17"/>
  <c r="H65" i="17"/>
  <c r="I65" i="17"/>
  <c r="I51" i="17"/>
  <c r="H51" i="17"/>
  <c r="J51" i="17"/>
  <c r="E51" i="17"/>
  <c r="F51" i="17"/>
  <c r="G51" i="17"/>
  <c r="J44" i="17"/>
  <c r="F44" i="17"/>
  <c r="E44" i="17"/>
  <c r="G44" i="17"/>
  <c r="H44" i="17"/>
  <c r="I44" i="17"/>
  <c r="G59" i="17"/>
  <c r="H59" i="17"/>
  <c r="I59" i="17"/>
  <c r="J59" i="17"/>
  <c r="E59" i="17"/>
  <c r="F59" i="17"/>
  <c r="F60" i="17"/>
  <c r="J60" i="17"/>
  <c r="G60" i="17"/>
  <c r="I60" i="17"/>
  <c r="H60" i="17"/>
  <c r="E60" i="17"/>
  <c r="E48" i="17"/>
  <c r="G48" i="17"/>
  <c r="I48" i="17"/>
  <c r="F48" i="17"/>
  <c r="H48" i="17"/>
  <c r="J48" i="17"/>
  <c r="F30" i="17"/>
  <c r="G30" i="17"/>
  <c r="E30" i="17"/>
  <c r="H30" i="17"/>
  <c r="J30" i="17"/>
  <c r="I30" i="17"/>
  <c r="E28" i="17"/>
  <c r="F28" i="17"/>
  <c r="G28" i="17"/>
  <c r="H28" i="17"/>
  <c r="J28" i="17"/>
  <c r="I28" i="17"/>
  <c r="F70" i="17"/>
  <c r="G70" i="17"/>
  <c r="E70" i="17"/>
  <c r="H70" i="17"/>
  <c r="I70" i="17"/>
  <c r="J70" i="17"/>
  <c r="G76" i="17"/>
  <c r="H76" i="17"/>
  <c r="E76" i="17"/>
  <c r="J76" i="17"/>
  <c r="F76" i="17"/>
  <c r="I76" i="17"/>
  <c r="E22" i="17"/>
  <c r="G22" i="17"/>
  <c r="F22" i="17"/>
  <c r="H22" i="17"/>
  <c r="J22" i="17"/>
  <c r="I22" i="17"/>
  <c r="E73" i="17"/>
  <c r="F73" i="17"/>
  <c r="G73" i="17"/>
  <c r="H73" i="17"/>
  <c r="J73" i="17"/>
  <c r="I73" i="17"/>
  <c r="J31" i="17"/>
  <c r="F54" i="17"/>
  <c r="E54" i="17"/>
  <c r="G54" i="17"/>
  <c r="H54" i="17"/>
  <c r="I54" i="17"/>
  <c r="J54" i="17"/>
  <c r="E61" i="17"/>
  <c r="F61" i="17"/>
  <c r="G61" i="17"/>
  <c r="H61" i="17"/>
  <c r="I61" i="17"/>
  <c r="J61" i="17"/>
  <c r="G47" i="17"/>
  <c r="I47" i="17"/>
  <c r="J47" i="17"/>
  <c r="E47" i="17"/>
  <c r="F47" i="17"/>
  <c r="H47" i="17"/>
  <c r="F31" i="17"/>
  <c r="G74" i="17"/>
  <c r="E74" i="17"/>
  <c r="F74" i="17"/>
  <c r="H74" i="17"/>
  <c r="I74" i="17"/>
  <c r="J74" i="17"/>
  <c r="E31" i="17"/>
  <c r="H31" i="17"/>
  <c r="E57" i="17"/>
  <c r="F57" i="17"/>
  <c r="G57" i="17"/>
  <c r="H57" i="17"/>
  <c r="I57" i="17"/>
  <c r="J57" i="17"/>
  <c r="G42" i="17"/>
  <c r="F42" i="17"/>
  <c r="E42" i="17"/>
  <c r="H42" i="17"/>
  <c r="I42" i="17"/>
  <c r="J42" i="17"/>
  <c r="I72" i="17"/>
  <c r="G72" i="17"/>
  <c r="H72" i="17"/>
  <c r="J72" i="17"/>
  <c r="F72" i="17"/>
  <c r="E72" i="17"/>
  <c r="G31" i="17"/>
  <c r="G58" i="17"/>
  <c r="E58" i="17"/>
  <c r="F58" i="17"/>
  <c r="H58" i="17"/>
  <c r="I58" i="17"/>
  <c r="J58" i="17"/>
  <c r="G35" i="17"/>
  <c r="I35" i="17"/>
  <c r="J35" i="17"/>
  <c r="H35" i="17"/>
  <c r="E35" i="17"/>
  <c r="F35" i="17"/>
  <c r="I71" i="17"/>
  <c r="H71" i="17"/>
  <c r="J71" i="17"/>
  <c r="F71" i="17"/>
  <c r="G71" i="17"/>
  <c r="E71" i="17"/>
  <c r="P57" i="17"/>
  <c r="L57" i="17"/>
  <c r="O57" i="17"/>
  <c r="N57" i="17"/>
  <c r="K57" i="17"/>
  <c r="M57" i="17"/>
  <c r="O3" i="13"/>
  <c r="U3" i="13" s="1"/>
  <c r="N3" i="13"/>
  <c r="T3" i="13" s="1"/>
  <c r="M3" i="13"/>
  <c r="S3" i="13" s="1"/>
  <c r="L3" i="13"/>
  <c r="R3" i="13" s="1"/>
  <c r="K3" i="13"/>
  <c r="Q3" i="13" s="1"/>
  <c r="AP3" i="12"/>
  <c r="P3" i="12" s="1"/>
  <c r="J3" i="12" s="1"/>
  <c r="J3" i="13"/>
  <c r="P3" i="13" s="1"/>
  <c r="Q3" i="12"/>
  <c r="T3" i="12"/>
  <c r="N3" i="12" s="1"/>
  <c r="S3" i="12"/>
  <c r="M3" i="12" s="1"/>
  <c r="R3" i="12"/>
  <c r="L3" i="12" s="1"/>
  <c r="A51" i="21" l="1"/>
  <c r="A50" i="21"/>
  <c r="A48" i="21"/>
  <c r="A71" i="21"/>
  <c r="A28" i="21"/>
  <c r="A59" i="21"/>
  <c r="A68" i="21"/>
  <c r="A53" i="21"/>
  <c r="A67" i="21"/>
  <c r="A47" i="21"/>
  <c r="A46" i="21"/>
  <c r="A73" i="21"/>
  <c r="A66" i="21"/>
  <c r="A31" i="21"/>
  <c r="A57" i="21"/>
  <c r="A75" i="21"/>
  <c r="A32" i="21"/>
  <c r="A60" i="21"/>
  <c r="A69" i="21"/>
  <c r="A64" i="21"/>
  <c r="A34" i="21"/>
  <c r="A42" i="21"/>
  <c r="A56" i="21"/>
  <c r="A44" i="21"/>
  <c r="A72" i="21"/>
  <c r="A70" i="21"/>
  <c r="A22" i="21"/>
  <c r="A30" i="21"/>
  <c r="A58" i="21"/>
  <c r="A35" i="21"/>
  <c r="J3" i="21"/>
  <c r="I3" i="21"/>
  <c r="H3" i="21"/>
  <c r="G3" i="21"/>
  <c r="F3" i="21"/>
  <c r="E3" i="21"/>
  <c r="A51" i="17"/>
  <c r="A58" i="17"/>
  <c r="A34" i="17"/>
  <c r="A69" i="17"/>
  <c r="A42" i="17"/>
  <c r="A74" i="17"/>
  <c r="A61" i="17"/>
  <c r="A48" i="17"/>
  <c r="A50" i="17"/>
  <c r="A60" i="17"/>
  <c r="A28" i="17"/>
  <c r="A68" i="17"/>
  <c r="A32" i="17"/>
  <c r="A47" i="17"/>
  <c r="A22" i="17"/>
  <c r="A71" i="17"/>
  <c r="A46" i="17"/>
  <c r="A31" i="17"/>
  <c r="A59" i="17"/>
  <c r="A30" i="17"/>
  <c r="A65" i="17"/>
  <c r="A73" i="17"/>
  <c r="A67" i="17"/>
  <c r="A72" i="17"/>
  <c r="A44" i="17"/>
  <c r="A57" i="17"/>
  <c r="A76" i="17"/>
  <c r="A35" i="17"/>
  <c r="A54" i="17"/>
  <c r="A70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<sst xmlns="http://schemas.openxmlformats.org/spreadsheetml/2006/main" count="2564" uniqueCount="1057">
  <si>
    <t xml:space="preserve"> LINK   </t>
  </si>
  <si>
    <t xml:space="preserve"> PROJECT </t>
  </si>
  <si>
    <t xml:space="preserve"> COSTING_COMPANY </t>
  </si>
  <si>
    <t xml:space="preserve"> SALES_GROUP </t>
  </si>
  <si>
    <t xml:space="preserve"> ACCOUNT_MANAGER  </t>
  </si>
  <si>
    <t xml:space="preserve"> TECH_ENGINEER  </t>
  </si>
  <si>
    <t xml:space="preserve"> CUSTOMER           </t>
  </si>
  <si>
    <t xml:space="preserve"> REGION        </t>
  </si>
  <si>
    <t xml:space="preserve"> SALES     </t>
  </si>
  <si>
    <t xml:space="preserve"> STEP </t>
  </si>
  <si>
    <t>RFQ</t>
  </si>
  <si>
    <t>Processo/ maquina</t>
  </si>
  <si>
    <t xml:space="preserve">Item fabricado  </t>
  </si>
  <si>
    <t xml:space="preserve">  </t>
  </si>
  <si>
    <t xml:space="preserve">Lead time ordem  </t>
  </si>
  <si>
    <t xml:space="preserve">Roteiro  </t>
  </si>
  <si>
    <t xml:space="preserve">Unidade de roteiro  </t>
  </si>
  <si>
    <t xml:space="preserve">Operação  </t>
  </si>
  <si>
    <t xml:space="preserve">Próxima operação  </t>
  </si>
  <si>
    <t xml:space="preserve">Ponto de contagem  </t>
  </si>
  <si>
    <t xml:space="preserve">Backflushing  </t>
  </si>
  <si>
    <t xml:space="preserve">Taxa de produção  </t>
  </si>
  <si>
    <t xml:space="preserve">Tarefa  </t>
  </si>
  <si>
    <t xml:space="preserve">Cent. Trab.  </t>
  </si>
  <si>
    <t xml:space="preserve">Máquina  </t>
  </si>
  <si>
    <t xml:space="preserve">Tempo config médio [min] </t>
  </si>
  <si>
    <t xml:space="preserve">Lote de transferênc. &lt; lote de produção </t>
  </si>
  <si>
    <t xml:space="preserve">Tempo de ciclo [min] </t>
  </si>
  <si>
    <t xml:space="preserve">Transferência em lote  </t>
  </si>
  <si>
    <t xml:space="preserve">Data efetiva  </t>
  </si>
  <si>
    <t xml:space="preserve">Data vencimento  </t>
  </si>
  <si>
    <t xml:space="preserve">Fator da taxa de subcontratação </t>
  </si>
  <si>
    <t xml:space="preserve">Ocupação de mão-de-obra </t>
  </si>
  <si>
    <t xml:space="preserve">Ocupação de MO para produção </t>
  </si>
  <si>
    <t xml:space="preserve">Ocupação da máquina  </t>
  </si>
  <si>
    <t xml:space="preserve">Duração fixa </t>
  </si>
  <si>
    <t>ROTOR (3.06971.00.0)</t>
  </si>
  <si>
    <t>Dias</t>
  </si>
  <si>
    <t>Principal</t>
  </si>
  <si>
    <t>pc</t>
  </si>
  <si>
    <t>I</t>
  </si>
  <si>
    <t>Não</t>
  </si>
  <si>
    <t>Sim</t>
  </si>
  <si>
    <t>WC - Operações Manuais</t>
  </si>
  <si>
    <t># POSTO DE OPERAÇÕES MANUAIS</t>
  </si>
  <si>
    <t>Sinterizar</t>
  </si>
  <si>
    <t>WC - Sin Abbott RapidCool 1/2</t>
  </si>
  <si>
    <t>Sin Abbott 2 - Rapid Cooling</t>
  </si>
  <si>
    <t>Olear</t>
  </si>
  <si>
    <t>WC - Oleamento</t>
  </si>
  <si>
    <t>Ole TANQUE OLEAM. SINTERIZAÇÃO</t>
  </si>
  <si>
    <t>Embalar para subcontratado</t>
  </si>
  <si>
    <t>WC - Embalagem manual</t>
  </si>
  <si>
    <t># POSTO INSP/EMBALAGEM 90</t>
  </si>
  <si>
    <t xml:space="preserve">       </t>
  </si>
  <si>
    <t>Expedir Subcontratado</t>
  </si>
  <si>
    <t>WC - Expedir Subcontratado</t>
  </si>
  <si>
    <t># POSTO EXPEDIR SUBCONTRATADO</t>
  </si>
  <si>
    <t>Subcontratado - Trat. Térmico</t>
  </si>
  <si>
    <t>WC - Sub_Sotherm</t>
  </si>
  <si>
    <t>Subcon Sotherm</t>
  </si>
  <si>
    <t>Inspeção de Entrada</t>
  </si>
  <si>
    <t>WC - Inspecionar</t>
  </si>
  <si>
    <t># POSTO DE INSPEÇÃO - 90</t>
  </si>
  <si>
    <t>Tornear</t>
  </si>
  <si>
    <t>WC - Tor FAMAR Bi-SUB</t>
  </si>
  <si>
    <t>Tor FAMAR Bi-SUB</t>
  </si>
  <si>
    <t>Selecionar Visual 100%</t>
  </si>
  <si>
    <t>WC - Selecionar 100%</t>
  </si>
  <si>
    <t># POSTO DE SELEÇÃO 100% - 90</t>
  </si>
  <si>
    <t>TESTE DE TORQUE</t>
  </si>
  <si>
    <t>Embalar</t>
  </si>
  <si>
    <t>INSP. SAFE LAUNCH</t>
  </si>
  <si>
    <t>F</t>
  </si>
  <si>
    <t>Auditoria Final</t>
  </si>
  <si>
    <t>WC - Auditoria Final</t>
  </si>
  <si>
    <t># POSTO DE AUDITORIA FINAL</t>
  </si>
  <si>
    <t>PRINCIPAL</t>
  </si>
  <si>
    <t>Compactar</t>
  </si>
  <si>
    <t>WC - Sin Abbott Convencional 3</t>
  </si>
  <si>
    <t>OFF - Sin Abbott 3</t>
  </si>
  <si>
    <t>WC - Ret Wolters AC700-F D.F.</t>
  </si>
  <si>
    <t>Ret Wolters AC700-F D.F.</t>
  </si>
  <si>
    <t>Tamborear</t>
  </si>
  <si>
    <t>WC - Vib Rosler e Otocarva</t>
  </si>
  <si>
    <t>Preparar Ferramenta Compactaçã</t>
  </si>
  <si>
    <t>WC - Preparação Ferrament - GF</t>
  </si>
  <si>
    <t># POSTO PREPARAÇÃO FERRAMENTAL</t>
  </si>
  <si>
    <t>WC - Com AP150 ton SACMI 1/2</t>
  </si>
  <si>
    <t>Com 150 ton SACMI I</t>
  </si>
  <si>
    <t>WC - Com KPP 450 t Osterw 1/2</t>
  </si>
  <si>
    <t>Com 450 ton Osterwalder 1</t>
  </si>
  <si>
    <t>Com 450 ton Osterwalder 2</t>
  </si>
  <si>
    <t>REACTION PLATE</t>
  </si>
  <si>
    <t>Vib Rosler 1</t>
  </si>
  <si>
    <t>Ole TANQUE OLEAM TAMBOREAMENTO</t>
  </si>
  <si>
    <t>WC - Torno CNC Okuma 1/2/3/4</t>
  </si>
  <si>
    <t>Tor Okuma 1</t>
  </si>
  <si>
    <t>WC - Cal 350 ton Jundiai</t>
  </si>
  <si>
    <t>Cal 350 ton Jundiaí</t>
  </si>
  <si>
    <t>WC - Usi Romi Discov e Chiron</t>
  </si>
  <si>
    <t>OFF - Usi CHIRON FZ08K</t>
  </si>
  <si>
    <t>WC - Oxi Blue Star 1/2</t>
  </si>
  <si>
    <t>Oxi Blue Star 1</t>
  </si>
  <si>
    <t>WC - Sub_Selco</t>
  </si>
  <si>
    <t>RFQ113581</t>
  </si>
  <si>
    <t>ROTOR</t>
  </si>
  <si>
    <t>WC - Gre LEWA-FANUC Usin. verd</t>
  </si>
  <si>
    <t>Gre LEWA-FANUC Usin. verd</t>
  </si>
  <si>
    <t>WC - Gre INGENIA-FANUC Usin.</t>
  </si>
  <si>
    <t>Gre INGENIA-FANUC Usin. verde</t>
  </si>
  <si>
    <t>WC - Tor FAMAR SUB160</t>
  </si>
  <si>
    <t>Tor FAMAR SUB160</t>
  </si>
  <si>
    <t>WC - Esc ENGC Multe Est ROTOR</t>
  </si>
  <si>
    <t>Esc ENGC Multe Estações ROTOR</t>
  </si>
  <si>
    <t>WC - Lav KIVERTRON Esteira VOP</t>
  </si>
  <si>
    <t>Lav KIVERTRON Continua (VOP)</t>
  </si>
  <si>
    <t>Sin Abbott 1 - Rapid Cooling</t>
  </si>
  <si>
    <t>Usi Romi Discovery 560</t>
  </si>
  <si>
    <t>WC - Vib Total Finish Esferas</t>
  </si>
  <si>
    <t>Vib Total Finish</t>
  </si>
  <si>
    <t>WC - Lavadora Manual</t>
  </si>
  <si>
    <t>Lav SUBRA Prot. Final</t>
  </si>
  <si>
    <t>WC - Revenimento Engefor</t>
  </si>
  <si>
    <t>Rev Revenimento Engefor</t>
  </si>
  <si>
    <t>WC - Vib Spiratron 1/2</t>
  </si>
  <si>
    <t>Vib Spiratron 1</t>
  </si>
  <si>
    <t>Oxi Blue Star 2</t>
  </si>
  <si>
    <t>WC - Lapidadora ENGC 1/2 - CNC</t>
  </si>
  <si>
    <t>Lapidadora ENGC 2</t>
  </si>
  <si>
    <t>Machine condition Strategy</t>
  </si>
  <si>
    <t>Req. machines</t>
  </si>
  <si>
    <t>Req. machines Strategy</t>
  </si>
  <si>
    <t>Actual Oee (%)</t>
  </si>
  <si>
    <t>Planned Oee (%) Strategy</t>
  </si>
  <si>
    <t>Required Oee (%) Strategy</t>
  </si>
  <si>
    <t>Required Total Oee (%) Strategy</t>
  </si>
  <si>
    <t>Req. capacity (h) Strategy</t>
  </si>
  <si>
    <t>Planned capacity (h) Strategy</t>
  </si>
  <si>
    <t>Total capacity (h) Strategy</t>
  </si>
  <si>
    <t>Quantity Strategy</t>
  </si>
  <si>
    <t>Name</t>
  </si>
  <si>
    <t>Description</t>
  </si>
  <si>
    <t>Actual machine</t>
  </si>
  <si>
    <t>Standard Oee</t>
  </si>
  <si>
    <t>Current Oee</t>
  </si>
  <si>
    <t>Total</t>
  </si>
  <si>
    <t>�</t>
  </si>
  <si>
    <t>HOR-000002</t>
  </si>
  <si>
    <t>Com 40/60 ton Yoshi 1</t>
  </si>
  <si>
    <t>HOR-000003</t>
  </si>
  <si>
    <t>Com 60 ton Yoshi 1</t>
  </si>
  <si>
    <t>HOR-000004</t>
  </si>
  <si>
    <t>Com 200 ton Yoshi</t>
  </si>
  <si>
    <t>HOR-000021</t>
  </si>
  <si>
    <t>HOR-000040</t>
  </si>
  <si>
    <t>Com 150 ton Yoshi 2</t>
  </si>
  <si>
    <t>HOR-000041</t>
  </si>
  <si>
    <t>Com 20 ton Yoshi</t>
  </si>
  <si>
    <t>HOR-000208</t>
  </si>
  <si>
    <t>IDLE - Com 45 ton Dorst 1</t>
  </si>
  <si>
    <t>HOR-001613</t>
  </si>
  <si>
    <t>Com 100 ton Yoshi</t>
  </si>
  <si>
    <t>HOR-001797</t>
  </si>
  <si>
    <t>Com 60 ton Yoshi 2</t>
  </si>
  <si>
    <t>HOR-001993</t>
  </si>
  <si>
    <t>HOR-002206</t>
  </si>
  <si>
    <t>Com 40/60 ton Yoshi 2</t>
  </si>
  <si>
    <t>HOR-002439</t>
  </si>
  <si>
    <t>Com 60 ton Yoshi 3</t>
  </si>
  <si>
    <t>HOR-002454</t>
  </si>
  <si>
    <t>Com 100 ton GKN I</t>
  </si>
  <si>
    <t>HOR-002642</t>
  </si>
  <si>
    <t>HOR-002675</t>
  </si>
  <si>
    <t>Com 150 ton SACMI II</t>
  </si>
  <si>
    <t>Req, machines</t>
  </si>
  <si>
    <t>Req, machines Strategy</t>
  </si>
  <si>
    <t>Req, capacity (h) Strategy</t>
  </si>
  <si>
    <t>HOR-000007</t>
  </si>
  <si>
    <t>HOR-000008</t>
  </si>
  <si>
    <t>Que/Rev Engefor Branco</t>
  </si>
  <si>
    <t>HOR-000031</t>
  </si>
  <si>
    <t>HOR-001434</t>
  </si>
  <si>
    <t>HOR-001435</t>
  </si>
  <si>
    <t>HOR-001708</t>
  </si>
  <si>
    <t>HOR-002264</t>
  </si>
  <si>
    <t>HOR-002452</t>
  </si>
  <si>
    <t>Forno PNT RUBIG I</t>
  </si>
  <si>
    <t>∞</t>
  </si>
  <si>
    <t>HOR-000010</t>
  </si>
  <si>
    <t>OFF - Tor Mazak QT-6T</t>
  </si>
  <si>
    <t>HOR-000033</t>
  </si>
  <si>
    <t>HOR-000034</t>
  </si>
  <si>
    <t>Tor Okuma 2</t>
  </si>
  <si>
    <t>HOR-000608</t>
  </si>
  <si>
    <t>HOR-001436</t>
  </si>
  <si>
    <t>OFF - Tor Mazak CNC 6G</t>
  </si>
  <si>
    <t>HOR-001674</t>
  </si>
  <si>
    <t>Tor Okuma 3</t>
  </si>
  <si>
    <t>HOR-001879</t>
  </si>
  <si>
    <t>Lapidadora MPL 1</t>
  </si>
  <si>
    <t>HOR-001880</t>
  </si>
  <si>
    <t>Lapidadora MPL 2</t>
  </si>
  <si>
    <t>HOR-002266</t>
  </si>
  <si>
    <t>Lapidadora ENGC 1</t>
  </si>
  <si>
    <t>HOR-002277</t>
  </si>
  <si>
    <t>ROSQ_HOR-789</t>
  </si>
  <si>
    <t>HOR-002444</t>
  </si>
  <si>
    <t>HOR-002644</t>
  </si>
  <si>
    <t>Tor Okuma 4</t>
  </si>
  <si>
    <t>HOR-002674</t>
  </si>
  <si>
    <t>HOR-002712</t>
  </si>
  <si>
    <t>HOR-002777</t>
  </si>
  <si>
    <t>HOR-002783</t>
  </si>
  <si>
    <t>HOR-002860</t>
  </si>
  <si>
    <t>HOR-002876</t>
  </si>
  <si>
    <t>HOR-002934</t>
  </si>
  <si>
    <t>Fur IBRATECH - 788/836</t>
  </si>
  <si>
    <t>Gre LEWA-FANUC Usin, verd</t>
  </si>
  <si>
    <t>Ret Wolters AC700-F D,F,</t>
  </si>
  <si>
    <t>Gre INGENIA-FANUC Usin, verde</t>
  </si>
  <si>
    <t>HOR-000005</t>
  </si>
  <si>
    <t>Cal 500 ton Jundiaí</t>
  </si>
  <si>
    <t>HOR-000014</t>
  </si>
  <si>
    <t>Cal 200 ton P Jundiaí 1</t>
  </si>
  <si>
    <t>HOR-000036</t>
  </si>
  <si>
    <t>Cal 150 ton A Jundiaí 1</t>
  </si>
  <si>
    <t>HOR-000221</t>
  </si>
  <si>
    <t>OFF - Cal 30 ton Dorst DK 2</t>
  </si>
  <si>
    <t>HOR-001637</t>
  </si>
  <si>
    <t>Cal 150 ton P Jundiaí 2</t>
  </si>
  <si>
    <t>HOR-001723</t>
  </si>
  <si>
    <t>Cal 15 ton CBA (Cunhagem)</t>
  </si>
  <si>
    <t>HOR-002203</t>
  </si>
  <si>
    <t>Cal 200 ton A Jundiaí 2</t>
  </si>
  <si>
    <t>HOR-002268</t>
  </si>
  <si>
    <t>HOR-002610</t>
  </si>
  <si>
    <t>Cal 100 ton HORMEC 1</t>
  </si>
  <si>
    <t>HOR-002790</t>
  </si>
  <si>
    <t>Cal 50 ton HORMEC HS 1</t>
  </si>
  <si>
    <t>HOR-801301</t>
  </si>
  <si>
    <t>HOR-002874</t>
  </si>
  <si>
    <t>HOR-002028</t>
  </si>
  <si>
    <t>HOR-002643</t>
  </si>
  <si>
    <t>HOR-000995</t>
  </si>
  <si>
    <t>Lav Lavadora Manual</t>
  </si>
  <si>
    <t>HOR-000997</t>
  </si>
  <si>
    <t>HOR-002169</t>
  </si>
  <si>
    <t>Ole TANQUE OLEAMENTO USINAGEM</t>
  </si>
  <si>
    <t>HOR-002632</t>
  </si>
  <si>
    <t>Esc ESCOVADORA DE BIELAS</t>
  </si>
  <si>
    <t>HOR-000261</t>
  </si>
  <si>
    <t>HOR-002029</t>
  </si>
  <si>
    <t>HOR-001281</t>
  </si>
  <si>
    <t>Jateadora Blastibras</t>
  </si>
  <si>
    <t>HOR-002832</t>
  </si>
  <si>
    <t>Esc ENGC Multe Estações ANEL</t>
  </si>
  <si>
    <t>HOR-002201</t>
  </si>
  <si>
    <t>HOR-002831</t>
  </si>
  <si>
    <t>HOR-000011</t>
  </si>
  <si>
    <t>HOR-002789</t>
  </si>
  <si>
    <t>HOR-002638</t>
  </si>
  <si>
    <t>HOR-001614</t>
  </si>
  <si>
    <t>IDLE - Vib Otocarva</t>
  </si>
  <si>
    <t>HOR-8205</t>
  </si>
  <si>
    <t>Lav SUBRA Prot, Final</t>
  </si>
  <si>
    <t>Ole TANQUE OLEAM, REVENIMENTO</t>
  </si>
  <si>
    <t>Ole TANQUE OLEAM, SINTERIZAÇÃO</t>
  </si>
  <si>
    <t>OFF - Esc ESCOV, OLHAIS MENOR</t>
  </si>
  <si>
    <t>HOR-</t>
  </si>
  <si>
    <t>UNDEFINED</t>
  </si>
  <si>
    <t>CUBO SINCRONIZADOR 55350141</t>
  </si>
  <si>
    <t>CUBO SINCRONIZADOR 55350144</t>
  </si>
  <si>
    <t>CUBO SINCRONIZADOR 55350147</t>
  </si>
  <si>
    <t>ANEL CAME 7683 534 902</t>
  </si>
  <si>
    <t>CUBO 3A/4A VEL (3363203)</t>
  </si>
  <si>
    <t>CUBO 1A/2A VEL (3363619)</t>
  </si>
  <si>
    <t>ESPACADOR (3363358)</t>
  </si>
  <si>
    <t>CUBO 5A/6A VEL (3363606)</t>
  </si>
  <si>
    <t>CUBO (24586241)</t>
  </si>
  <si>
    <t>PLATE - OUTER (5045450_E)</t>
  </si>
  <si>
    <t>PLATE - OUTER BLANK</t>
  </si>
  <si>
    <t>HOR-RFQ105316_01</t>
  </si>
  <si>
    <t>HOR-RFQ105316_02</t>
  </si>
  <si>
    <t>CARRIER PLANETARY PART1</t>
  </si>
  <si>
    <t>CARRIER PLANETARY PART2</t>
  </si>
  <si>
    <t>HOR-000,0036</t>
  </si>
  <si>
    <t>CUBO 5 VELOC,RE (3363122)</t>
  </si>
  <si>
    <t>HOR-000,0055</t>
  </si>
  <si>
    <t>HOR-000,0056</t>
  </si>
  <si>
    <t>HOR-000,0057</t>
  </si>
  <si>
    <t>HOR-000,0417</t>
  </si>
  <si>
    <t>CUBO SINCRON, (1361,304,032)</t>
  </si>
  <si>
    <t>HOR-000,0553</t>
  </si>
  <si>
    <t>HOR-000,0625</t>
  </si>
  <si>
    <t>HOR-000,0627</t>
  </si>
  <si>
    <t>HOR-000,0630</t>
  </si>
  <si>
    <t>CORPO SINC, 1361,404,139</t>
  </si>
  <si>
    <t>HOR-000,0632</t>
  </si>
  <si>
    <t>HOR-000,0639</t>
  </si>
  <si>
    <t>CUBO SINCRON, (1361,403,076)</t>
  </si>
  <si>
    <t>HOR-000,0712</t>
  </si>
  <si>
    <t>HOR-000,0747</t>
  </si>
  <si>
    <t>HOR-000,0811</t>
  </si>
  <si>
    <t>HOR-000,0825</t>
  </si>
  <si>
    <t>Pulley Wapu 04C,109111,H</t>
  </si>
  <si>
    <t>HOR-000,0829</t>
  </si>
  <si>
    <t>Pulley Wapu 04E,109111,AT</t>
  </si>
  <si>
    <t>HOR-000,0834</t>
  </si>
  <si>
    <t>HOR-000,0843</t>
  </si>
  <si>
    <t>STATOR F-357050,06-0071 B00 AB</t>
  </si>
  <si>
    <t>CUBO EDS (L-03239-0852-07) AB</t>
  </si>
  <si>
    <t>PLACA MARCHA 333266-12020</t>
  </si>
  <si>
    <t>MARCHA PRINCIP N1 333232-12040</t>
  </si>
  <si>
    <t>MARCHA PRINC N3 333234-12030</t>
  </si>
  <si>
    <t>MARCHA RE PRIN N2 333233-12040</t>
  </si>
  <si>
    <t>ALAVANCA MARCH FR 333926-12020</t>
  </si>
  <si>
    <t>SPKT (13521-0Y060 00)</t>
  </si>
  <si>
    <t>WORMSHAFT (A0050410X)</t>
  </si>
  <si>
    <t>FIXED CAM (A0016604)</t>
  </si>
  <si>
    <t>FIXED CAM (A0051288)</t>
  </si>
  <si>
    <t>SPACER RH (38029720)</t>
  </si>
  <si>
    <t>1035321ROSETA018-4324-71030462</t>
  </si>
  <si>
    <t>SPKT (15163-F2010)</t>
  </si>
  <si>
    <t>SPKT (13521-F2020)</t>
  </si>
  <si>
    <t>SPKT (13519-F2020)</t>
  </si>
  <si>
    <t>ROTOR (5049933_C)</t>
  </si>
  <si>
    <t>CLUTCH 4119-162-0800-B</t>
  </si>
  <si>
    <t>HOR-RFQ103662</t>
  </si>
  <si>
    <t>CLUTCH HUB 5038274-01</t>
  </si>
  <si>
    <t>HOR-RFQ103668</t>
  </si>
  <si>
    <t>CLUTCH BACK 5037441-01</t>
  </si>
  <si>
    <t>HOR-RFQ106769_01</t>
  </si>
  <si>
    <t>ROTOR (PART1)</t>
  </si>
  <si>
    <t>HOR-RFQ111507</t>
  </si>
  <si>
    <t>CAM RAKE (38202902)</t>
  </si>
  <si>
    <t>HOR-000,0490</t>
  </si>
  <si>
    <t>HOR-000,0674</t>
  </si>
  <si>
    <t>HOR-000,0675</t>
  </si>
  <si>
    <t>HOR-000,0676</t>
  </si>
  <si>
    <t>HOR-000,0678</t>
  </si>
  <si>
    <t>HOR-000,0679</t>
  </si>
  <si>
    <t>HOR-000,0685</t>
  </si>
  <si>
    <t>HOR-000,0722</t>
  </si>
  <si>
    <t>HOR-000,0723</t>
  </si>
  <si>
    <t>HOR-000,0724</t>
  </si>
  <si>
    <t>HOR-000,0739</t>
  </si>
  <si>
    <t>ROTOR 3,48499,01,0</t>
  </si>
  <si>
    <t>HOR-000,0744</t>
  </si>
  <si>
    <t>SETTING RING 3,50190,01,0</t>
  </si>
  <si>
    <t>HOR-000,0770</t>
  </si>
  <si>
    <t>CUBO SINT,(L-03239-0G89-00) AG</t>
  </si>
  <si>
    <t>HOR-000,0775</t>
  </si>
  <si>
    <t>CUBO SINT,(L-03239-0858-02) AB</t>
  </si>
  <si>
    <t>HOR-000,0777</t>
  </si>
  <si>
    <t>HOR-000,0778</t>
  </si>
  <si>
    <t>HOR-000,0794</t>
  </si>
  <si>
    <t>CUBO SINT,(L-03239-0860-00) AF</t>
  </si>
  <si>
    <t>HOR-000,0805</t>
  </si>
  <si>
    <t>HOR-000,0806</t>
  </si>
  <si>
    <t>HOR-000,0807</t>
  </si>
  <si>
    <t>HOR-000,0808</t>
  </si>
  <si>
    <t>HOR-000,0810</t>
  </si>
  <si>
    <t>HOR-000,0818</t>
  </si>
  <si>
    <t>CUBO SINT,(L-03239-1040-00) AD</t>
  </si>
  <si>
    <t>HOR-000,0826</t>
  </si>
  <si>
    <t>Pulley Crankshaft 04E,105263,C</t>
  </si>
  <si>
    <t>HOR-000,0836</t>
  </si>
  <si>
    <t>HOR-000,0842</t>
  </si>
  <si>
    <t>ROTOR F-357050,08-0061 C00 AC</t>
  </si>
  <si>
    <t>ROTOR F-558189,19-0061</t>
  </si>
  <si>
    <t>BIELA 21120</t>
  </si>
  <si>
    <t>BIELA 21119</t>
  </si>
  <si>
    <t>355-MANCAL SINT (446355001)</t>
  </si>
  <si>
    <t>INSERTO ENG EIXO VER 357419901</t>
  </si>
  <si>
    <t>OLHAL MENOR SINTERIZADO</t>
  </si>
  <si>
    <t>OLHAL(013351020)</t>
  </si>
  <si>
    <t>OLHAL(013351139)</t>
  </si>
  <si>
    <t>CUBO DE EMBREAGEM (CO225688)</t>
  </si>
  <si>
    <t>CUBO SINTERIZADO 001829002937</t>
  </si>
  <si>
    <t>CUBO DE EMBREAGEM 001829002989</t>
  </si>
  <si>
    <t>OLHAL MENOR - EMX2</t>
  </si>
  <si>
    <t>CUBO EMBREAGEM 001829003278</t>
  </si>
  <si>
    <t>ANEL SINCRONIZADOR (3363124)</t>
  </si>
  <si>
    <t>CUBO SINTERIZADO 001829002884</t>
  </si>
  <si>
    <t>SUPORTE DA MOLA (3363113)</t>
  </si>
  <si>
    <t>OLHAL MENOR</t>
  </si>
  <si>
    <t>CUBO SINTERIZADO 001829003507</t>
  </si>
  <si>
    <t>GUIA DE ENGATE (3363137)</t>
  </si>
  <si>
    <t>CUBO SINTERIZADO 001829003732</t>
  </si>
  <si>
    <t>CUBO DE EMBREAGEM 001829003737</t>
  </si>
  <si>
    <t>CUBO DE EMBREAGEM 001829003738</t>
  </si>
  <si>
    <t>CUBO DE EMBREAGEM 001829003739</t>
  </si>
  <si>
    <t>CUBO DE EMBREAGEM 001829003974</t>
  </si>
  <si>
    <t>CUBO 001829003818</t>
  </si>
  <si>
    <t>CUBO 001829003846</t>
  </si>
  <si>
    <t>CUBO SINTERIZADO 001829003804</t>
  </si>
  <si>
    <t>GUIA DE ENGATE (3363274)</t>
  </si>
  <si>
    <t>CUBO DE EMBREAGEM C0227790</t>
  </si>
  <si>
    <t>CUBO EA211 C1030583</t>
  </si>
  <si>
    <t>CUBO SINTERIZADO 001829004519</t>
  </si>
  <si>
    <t>CUBO SINTERIZADO (1829004580)</t>
  </si>
  <si>
    <t>SATELLITE GEAR (1206475)</t>
  </si>
  <si>
    <t>CLUTCH HUB (C0193055)</t>
  </si>
  <si>
    <t>ROTOR OIL PUMP OUTER</t>
  </si>
  <si>
    <t>ROTOR OIL PUMP INNER</t>
  </si>
  <si>
    <t>NOTTOLINO 552826500</t>
  </si>
  <si>
    <t>CUBO SINTERIZADO 001829005684</t>
  </si>
  <si>
    <t>CUBO C1073442</t>
  </si>
  <si>
    <t>CUBO DE EMBREAGEM (CO225011)</t>
  </si>
  <si>
    <t>HUB (1128-642-5400-A)</t>
  </si>
  <si>
    <t>HOR-RFQ108173_INNER</t>
  </si>
  <si>
    <t>HOR-RFQ108173_OUTER</t>
  </si>
  <si>
    <t>HOR-RFQ108270</t>
  </si>
  <si>
    <t>HOR-RFQ108271</t>
  </si>
  <si>
    <t>HOR-RFQ111775</t>
  </si>
  <si>
    <t>OUTPUT SHAFT BC772-A42-00</t>
  </si>
  <si>
    <t>HOR-000,0008</t>
  </si>
  <si>
    <t>PISTAO EMY19 01,335,1500</t>
  </si>
  <si>
    <t>HOR-000,0009</t>
  </si>
  <si>
    <t>PISTAO EMY21 01,335,1501</t>
  </si>
  <si>
    <t>HOR-000,0020</t>
  </si>
  <si>
    <t>PLACA VALVULA EGY 01,375,1013</t>
  </si>
  <si>
    <t>HOR-000,0081</t>
  </si>
  <si>
    <t>PISTAO EM22 01,335,1502</t>
  </si>
  <si>
    <t>HOR-000,0135</t>
  </si>
  <si>
    <t>PISTAO EGX 01,375,1050</t>
  </si>
  <si>
    <t>HOR-000,0148</t>
  </si>
  <si>
    <t>PLACA VALVULA 01,375,1017</t>
  </si>
  <si>
    <t>HOR-000,0149</t>
  </si>
  <si>
    <t>PISTAO 01,375,1006</t>
  </si>
  <si>
    <t>HOR-000,0150</t>
  </si>
  <si>
    <t>PISTAO 01,375,1007</t>
  </si>
  <si>
    <t>HOR-000,0151</t>
  </si>
  <si>
    <t>PLACA VALV EGXR134 01,375,1070</t>
  </si>
  <si>
    <t>HOR-000,0166</t>
  </si>
  <si>
    <t>HOR-000,0168</t>
  </si>
  <si>
    <t>HOR-000,0182</t>
  </si>
  <si>
    <t>PLACA VALVULA EGX 01,375,1069</t>
  </si>
  <si>
    <t>HOR-000,0214</t>
  </si>
  <si>
    <t>HOR-000,0222</t>
  </si>
  <si>
    <t>HOR-000,0331</t>
  </si>
  <si>
    <t>PISTAO BRUTO EMX2 01,335,1167</t>
  </si>
  <si>
    <t>HOR-000,0332</t>
  </si>
  <si>
    <t>PISTAO BRUTO EMX2 01,335,1169</t>
  </si>
  <si>
    <t>HOR-000,0333</t>
  </si>
  <si>
    <t>PISTAO BRUTO EMX2 01,335,1168</t>
  </si>
  <si>
    <t>HOR-000,0340</t>
  </si>
  <si>
    <t>HOR-000,0350</t>
  </si>
  <si>
    <t>HOR-000,0356</t>
  </si>
  <si>
    <t>PISTAO EMX2 01,335,1186</t>
  </si>
  <si>
    <t>HOR-000,0360</t>
  </si>
  <si>
    <t>HOR-000,0370</t>
  </si>
  <si>
    <t>HOR-000,0380</t>
  </si>
  <si>
    <t>HOR-000,0390</t>
  </si>
  <si>
    <t>HOR-000,0400</t>
  </si>
  <si>
    <t>HOR-000,0410</t>
  </si>
  <si>
    <t>HOR-000,0415</t>
  </si>
  <si>
    <t>PISTAO EMX2 01,335,1187</t>
  </si>
  <si>
    <t>HOR-000,0420</t>
  </si>
  <si>
    <t>HOR-000,0426</t>
  </si>
  <si>
    <t>PISTAO BRUTO EGX 01,375,1092</t>
  </si>
  <si>
    <t>HOR-000,0430</t>
  </si>
  <si>
    <t>HOR-000,0447</t>
  </si>
  <si>
    <t>PISTAO EGX2 01,335,1322</t>
  </si>
  <si>
    <t>HOR-000,0464</t>
  </si>
  <si>
    <t>HOR-000,0471</t>
  </si>
  <si>
    <t>HOR-000,0485</t>
  </si>
  <si>
    <t>HOR-000,0495</t>
  </si>
  <si>
    <t>PLACA VALVULA 01,375,1119</t>
  </si>
  <si>
    <t>HOR-000,0508</t>
  </si>
  <si>
    <t>PISTAO 01,335,1024</t>
  </si>
  <si>
    <t>HOR-000,0509</t>
  </si>
  <si>
    <t>PISTAO 01,335,1034</t>
  </si>
  <si>
    <t>HOR-000,0510</t>
  </si>
  <si>
    <t>HOR-000,0514</t>
  </si>
  <si>
    <t>HOR-000,0520</t>
  </si>
  <si>
    <t>HOR-000,0523</t>
  </si>
  <si>
    <t>HOR-000,0531</t>
  </si>
  <si>
    <t>HOR-000,0540</t>
  </si>
  <si>
    <t>HOR-000,0575</t>
  </si>
  <si>
    <t>HOR-000,0576</t>
  </si>
  <si>
    <t>HOR-000,0608</t>
  </si>
  <si>
    <t>HOR-000,0610</t>
  </si>
  <si>
    <t>HOR-000,0611</t>
  </si>
  <si>
    <t>HOR-000,0612</t>
  </si>
  <si>
    <t>HOR-000,0619</t>
  </si>
  <si>
    <t>HOR-000,0621</t>
  </si>
  <si>
    <t>HOR-000,0622</t>
  </si>
  <si>
    <t>HOR-000,0623</t>
  </si>
  <si>
    <t>HOR-000,0633</t>
  </si>
  <si>
    <t>HOR-000,0670</t>
  </si>
  <si>
    <t>HOR-000,0672</t>
  </si>
  <si>
    <t>HOR-000,0686</t>
  </si>
  <si>
    <t>HOR-000,0688</t>
  </si>
  <si>
    <t>HOR-000,0716</t>
  </si>
  <si>
    <t>HOR-000,0728</t>
  </si>
  <si>
    <t>HOR-000,0745</t>
  </si>
  <si>
    <t>HOR-000,0746</t>
  </si>
  <si>
    <t>HOR-000,0748</t>
  </si>
  <si>
    <t>CUBO SINT,(L-03239-1007-01) AF</t>
  </si>
  <si>
    <t>HOR-000,0755</t>
  </si>
  <si>
    <t>GUIDING PLATE 1369,306,030</t>
  </si>
  <si>
    <t>HOR-000,0771</t>
  </si>
  <si>
    <t>CUBO SINT,(L-03239-1031-00) AB</t>
  </si>
  <si>
    <t>HOR-000,0772</t>
  </si>
  <si>
    <t>CUBO SINT,(L-03239-0H54-00) AC</t>
  </si>
  <si>
    <t>HOR-000,0774</t>
  </si>
  <si>
    <t>CUBO SINT,(L-03239-0853-00) AE</t>
  </si>
  <si>
    <t>HOR-000,0784</t>
  </si>
  <si>
    <t>HOR-000,0789</t>
  </si>
  <si>
    <t>HUB 3,58461,00,0</t>
  </si>
  <si>
    <t>HOR-000,0802</t>
  </si>
  <si>
    <t>HOR-000,0804</t>
  </si>
  <si>
    <t>HOR-000,0814</t>
  </si>
  <si>
    <t>HOR-000,0828</t>
  </si>
  <si>
    <t>Pulley Oil Pump 04E,105,209,E</t>
  </si>
  <si>
    <t>HOR-000,0835</t>
  </si>
  <si>
    <t>CUBO SINT,(L-03239-1008-02) AA</t>
  </si>
  <si>
    <t>HOR-000,0837</t>
  </si>
  <si>
    <t>HOR-000,0841</t>
  </si>
  <si>
    <t>CUBO SINT,(L-03239-1075-00) AB</t>
  </si>
  <si>
    <t>SUP RETROVI-200010406</t>
  </si>
  <si>
    <t>PLACA VALVULA 23325</t>
  </si>
  <si>
    <t>PLACA VALVULA 23326</t>
  </si>
  <si>
    <t>PLACA VALVULA BR23378</t>
  </si>
  <si>
    <t>BRACO SELETOR 24623KRM8400H1</t>
  </si>
  <si>
    <t>PLACA VALVULA 14952805</t>
  </si>
  <si>
    <t>PLACA VALVULA 23172</t>
  </si>
  <si>
    <t>PISTAO SINTER 14962750</t>
  </si>
  <si>
    <t>BIELA CALIBRADA 14962708</t>
  </si>
  <si>
    <t>BIELA CALIBRADA 14962709</t>
  </si>
  <si>
    <t>PISTAO SINTERIZADO 14963012</t>
  </si>
  <si>
    <t>PISTAO SINTERIZADO 14963010</t>
  </si>
  <si>
    <t>PLACA VALVULA 14963142</t>
  </si>
  <si>
    <t>PISTAO 14962753</t>
  </si>
  <si>
    <t>PISTAO 14962752</t>
  </si>
  <si>
    <t>PRATO DENTADO (566785)</t>
  </si>
  <si>
    <t>ARRUELA LIMITADORA (170509000)</t>
  </si>
  <si>
    <t>ARRUELA LIMITADORA (170510000)</t>
  </si>
  <si>
    <t>ARRUELA LIMITADORA (170511000)</t>
  </si>
  <si>
    <t>BIELA NITRETADA 210-10005</t>
  </si>
  <si>
    <t>BIELA NITRETADA 210-10009</t>
  </si>
  <si>
    <t>ALAVANCA MARCHA SL333279-12020</t>
  </si>
  <si>
    <t>MARCHA RE PRINCI 333231-12020</t>
  </si>
  <si>
    <t>BLOCO SELETOR 333286-12030</t>
  </si>
  <si>
    <t>ALAVANCA SELETORA 333251-12030</t>
  </si>
  <si>
    <t>ALAVANCA SELETORA 333256-12020</t>
  </si>
  <si>
    <t>ALAVANCA SELETORA 333286-12040</t>
  </si>
  <si>
    <t>ALAVANCA SELET N1 333252-12020</t>
  </si>
  <si>
    <t>PLACA VALVULA 231-10028</t>
  </si>
  <si>
    <t>C/S SPACER (4308482)</t>
  </si>
  <si>
    <t>PLACA VALVULA 231-10048</t>
  </si>
  <si>
    <t>PLACA VALVULA 231-10029</t>
  </si>
  <si>
    <t>PLACA VALVULA 231-10033</t>
  </si>
  <si>
    <t>PLACA VALVULA 231-10031</t>
  </si>
  <si>
    <t>PLACA VALVULA 231-10027</t>
  </si>
  <si>
    <t>PLACA VALVULA 231-10032</t>
  </si>
  <si>
    <t>PLACA VALVULA 231-10053</t>
  </si>
  <si>
    <t>PISTAO 14963009</t>
  </si>
  <si>
    <t>ALAVANCA SELETORA 333251-12080</t>
  </si>
  <si>
    <t>FOLLOWER RAKE TELE 21009762-0</t>
  </si>
  <si>
    <t>GRANO DI CENTRAGGIO 552754290</t>
  </si>
  <si>
    <t>DOWEL LOCATOR PIN 552682660</t>
  </si>
  <si>
    <t>GRANO 463363330</t>
  </si>
  <si>
    <t>GRANO 552826470</t>
  </si>
  <si>
    <t>DISTANZIALE RM 552826490</t>
  </si>
  <si>
    <t>PLACA VALVULA 231-10077</t>
  </si>
  <si>
    <t>PLATE OIL PUMP(15102KVS M200)</t>
  </si>
  <si>
    <t>CARRO PLANETARIO FURADO</t>
  </si>
  <si>
    <t>FOLLOWER RAKE TELE 21010076-0</t>
  </si>
  <si>
    <t>RING (MB01-021-2000-A)</t>
  </si>
  <si>
    <t>RING (TB01-021-2000-A)</t>
  </si>
  <si>
    <t>PASTILHA PQ-200024418</t>
  </si>
  <si>
    <t>HOR-RFQ111045</t>
  </si>
  <si>
    <t>HUB SINTERIZADO</t>
  </si>
  <si>
    <t>HOR-000,0011</t>
  </si>
  <si>
    <t>HOR-000,0013</t>
  </si>
  <si>
    <t>PLACA VALVULA 01,325,1673</t>
  </si>
  <si>
    <t>HOR-000,0014</t>
  </si>
  <si>
    <t>PLACA VALVULA NSV 01,335,1961</t>
  </si>
  <si>
    <t>HOR-000,0015</t>
  </si>
  <si>
    <t>PLACA VALVULA EMU 01,335,1155</t>
  </si>
  <si>
    <t>HOR-000,0158</t>
  </si>
  <si>
    <t>HOR-000,0159</t>
  </si>
  <si>
    <t>HOR-000,0322</t>
  </si>
  <si>
    <t>HOR-000,0330</t>
  </si>
  <si>
    <t>PLACA VALVULA EMX2 01,335,1146</t>
  </si>
  <si>
    <t>HOR-000,0339</t>
  </si>
  <si>
    <t>PLACA EMX2 01,335,1191</t>
  </si>
  <si>
    <t>HOR-000,0355</t>
  </si>
  <si>
    <t>PLACA VALVULA 01,335,1156</t>
  </si>
  <si>
    <t>HOR-000,0385</t>
  </si>
  <si>
    <t>HOR-000,0389</t>
  </si>
  <si>
    <t>PLACA VALVULA EMX2 01,335,1161</t>
  </si>
  <si>
    <t>HOR-000,0394</t>
  </si>
  <si>
    <t>PLACA VALVULA EMX2 01,335,1157</t>
  </si>
  <si>
    <t>HOR-000,0395</t>
  </si>
  <si>
    <t>PLACA VALVULA EMX2 01,335,1217</t>
  </si>
  <si>
    <t>HOR-000,0404</t>
  </si>
  <si>
    <t>HOR-000,0424</t>
  </si>
  <si>
    <t>PRESSIONADOR (1053,303,127)</t>
  </si>
  <si>
    <t>HOR-000,0486</t>
  </si>
  <si>
    <t>PRESSIONADOR (1307,304,156)</t>
  </si>
  <si>
    <t>HOR-000,0502</t>
  </si>
  <si>
    <t>HOR-000,0524</t>
  </si>
  <si>
    <t>HOR-000,0525</t>
  </si>
  <si>
    <t>HOR-000,0526</t>
  </si>
  <si>
    <t>HOR-000,0569</t>
  </si>
  <si>
    <t>HOR-000,0574</t>
  </si>
  <si>
    <t>HOR-000,0582</t>
  </si>
  <si>
    <t>HOR-000,0585</t>
  </si>
  <si>
    <t>PLACA VALVULA 01,335,1962</t>
  </si>
  <si>
    <t>HOR-000,0587</t>
  </si>
  <si>
    <t>HOR-000,0589</t>
  </si>
  <si>
    <t>HOR-000,0598</t>
  </si>
  <si>
    <t>PLACA VALVULA EMX2 01,335,1365</t>
  </si>
  <si>
    <t>HOR-000,0601</t>
  </si>
  <si>
    <t>HOR-000,0616</t>
  </si>
  <si>
    <t>HOR-000,0617</t>
  </si>
  <si>
    <t>HOR-000,0618</t>
  </si>
  <si>
    <t>HOR-000,0640</t>
  </si>
  <si>
    <t>HOR-000,0650</t>
  </si>
  <si>
    <t>HOR-000,0673</t>
  </si>
  <si>
    <t>HOR-000,0677</t>
  </si>
  <si>
    <t>HOR-000,0680</t>
  </si>
  <si>
    <t>HOR-000,0681</t>
  </si>
  <si>
    <t>HOR-000,0682</t>
  </si>
  <si>
    <t>HOR-000,0683</t>
  </si>
  <si>
    <t>HOR-000,0684</t>
  </si>
  <si>
    <t>HOR-000,0711</t>
  </si>
  <si>
    <t>HOR-000,0713</t>
  </si>
  <si>
    <t>HOR-000,0730</t>
  </si>
  <si>
    <t>HOR-000,0732</t>
  </si>
  <si>
    <t>HOR-000,0733</t>
  </si>
  <si>
    <t>HOR-000,0734</t>
  </si>
  <si>
    <t>HOR-000,0735</t>
  </si>
  <si>
    <t>HOR-000,0737</t>
  </si>
  <si>
    <t>HOR-000,0751</t>
  </si>
  <si>
    <t>HOR-000,0752</t>
  </si>
  <si>
    <t>HOR-000,0756</t>
  </si>
  <si>
    <t>HOR-000,0769</t>
  </si>
  <si>
    <t>HOR-000,0782</t>
  </si>
  <si>
    <t>HOR-000,0783</t>
  </si>
  <si>
    <t>HOR-000,0785</t>
  </si>
  <si>
    <t>HOR-000,0786</t>
  </si>
  <si>
    <t>HOR-000,0787</t>
  </si>
  <si>
    <t>BOCCOLA DISTANZIATR, 552826480</t>
  </si>
  <si>
    <t>HOR-000,0788</t>
  </si>
  <si>
    <t>HOR-000,0799</t>
  </si>
  <si>
    <t>HOR-000,0803</t>
  </si>
  <si>
    <t>HOR-000,0823</t>
  </si>
  <si>
    <t>HOR-000,0830</t>
  </si>
  <si>
    <t>HOR-000,0838</t>
  </si>
  <si>
    <t>HOR-000,0846</t>
  </si>
  <si>
    <t>HOR-000,0848</t>
  </si>
  <si>
    <t>Req. Machine %</t>
  </si>
  <si>
    <t>Req. Machines %</t>
  </si>
  <si>
    <t>000.0490</t>
  </si>
  <si>
    <t>000.0674</t>
  </si>
  <si>
    <t>000.0675</t>
  </si>
  <si>
    <t>000.0676</t>
  </si>
  <si>
    <t>000.0678</t>
  </si>
  <si>
    <t>000.0679</t>
  </si>
  <si>
    <t>000.0685</t>
  </si>
  <si>
    <t>000.0722</t>
  </si>
  <si>
    <t>000.0723</t>
  </si>
  <si>
    <t>000.0724</t>
  </si>
  <si>
    <t>000.0739</t>
  </si>
  <si>
    <t>000.0744</t>
  </si>
  <si>
    <t>000.0770</t>
  </si>
  <si>
    <t>000.0775</t>
  </si>
  <si>
    <t>000.0777</t>
  </si>
  <si>
    <t>000.0778</t>
  </si>
  <si>
    <t>000.0794</t>
  </si>
  <si>
    <t>000.0805</t>
  </si>
  <si>
    <t>000.0806</t>
  </si>
  <si>
    <t>000.0807</t>
  </si>
  <si>
    <t>000.0808</t>
  </si>
  <si>
    <t>000.0810</t>
  </si>
  <si>
    <t>000.0818</t>
  </si>
  <si>
    <t>000.0826</t>
  </si>
  <si>
    <t>000.0836</t>
  </si>
  <si>
    <t>000.0842</t>
  </si>
  <si>
    <t>RFQ103662</t>
  </si>
  <si>
    <t>RFQ103668</t>
  </si>
  <si>
    <t>RFQ106769_01</t>
  </si>
  <si>
    <t>RFQ111507</t>
  </si>
  <si>
    <t>VOLUME ANUAL</t>
  </si>
  <si>
    <t>PÇ/MIN</t>
  </si>
  <si>
    <t>DESCRIÇÃO</t>
  </si>
  <si>
    <t>TAXA PRODUÇÃO HORA</t>
  </si>
  <si>
    <t>Nº RFQ</t>
  </si>
  <si>
    <t>REQUERIDO H/ANO</t>
  </si>
  <si>
    <t>HOR-0150</t>
  </si>
  <si>
    <t>WC - Fer Tor ROMI Multiplic30D</t>
  </si>
  <si>
    <t>HOR-0160</t>
  </si>
  <si>
    <t>WC - Fer Torno Mazak Integrex</t>
  </si>
  <si>
    <t>HOR-0201</t>
  </si>
  <si>
    <t>WC - Fer Fresadora</t>
  </si>
  <si>
    <t>HOR-0300</t>
  </si>
  <si>
    <t>WC - Fer Eletro Fio Challenge</t>
  </si>
  <si>
    <t>HOR-0310</t>
  </si>
  <si>
    <t>WC - Fer Eletro Furo Rápido</t>
  </si>
  <si>
    <t>HOR-0311</t>
  </si>
  <si>
    <t>WC - Fer Penet Form P600</t>
  </si>
  <si>
    <t>HOR-0313</t>
  </si>
  <si>
    <t>WC - Fer Penetração Hiper Sp</t>
  </si>
  <si>
    <t>HOR-0314</t>
  </si>
  <si>
    <t>WC - Fer Penetração Form 20</t>
  </si>
  <si>
    <t>HOR-0315</t>
  </si>
  <si>
    <t>WC - Fer Fio Progress</t>
  </si>
  <si>
    <t>HOR-0350</t>
  </si>
  <si>
    <t>WC - Fer Bancada/Polimento</t>
  </si>
  <si>
    <t>HOR-0380</t>
  </si>
  <si>
    <t>WC - Fer Forno Engefor</t>
  </si>
  <si>
    <t>HOR-0600</t>
  </si>
  <si>
    <t>WC - Fer Ret Cil J&amp;Ship 1300X</t>
  </si>
  <si>
    <t>HOR-0601</t>
  </si>
  <si>
    <t>WC - Fer Ret Cil Ferdimat</t>
  </si>
  <si>
    <t>HOR-0610</t>
  </si>
  <si>
    <t>WC - Fer Ret Pla Ferdimat</t>
  </si>
  <si>
    <t>HOR-0611</t>
  </si>
  <si>
    <t>WC - Fer Ret Pla J&amp;Ship 1400X</t>
  </si>
  <si>
    <t>HOR-0651</t>
  </si>
  <si>
    <t>WC - Fer Prensa Hidr. Manual</t>
  </si>
  <si>
    <t>HOR-0703</t>
  </si>
  <si>
    <t>WC - Fer Inspeção</t>
  </si>
  <si>
    <t>HOR-2110</t>
  </si>
  <si>
    <t>WC - Com 20 ton Yoshi</t>
  </si>
  <si>
    <t>HOR-2122</t>
  </si>
  <si>
    <t>WC - Com 40/60 ton Yoshi 1 e 2</t>
  </si>
  <si>
    <t>HOR-2140</t>
  </si>
  <si>
    <t>WC - Com 60 ton Yoshi 1/2</t>
  </si>
  <si>
    <t>HOR-2141</t>
  </si>
  <si>
    <t>WC - Com 60 ton Yoshi 3</t>
  </si>
  <si>
    <t>HOR-2150</t>
  </si>
  <si>
    <t>WC - Com 100 ton Yoshi</t>
  </si>
  <si>
    <t>HOR-2151</t>
  </si>
  <si>
    <t>WC - Com AP100 ton GKN</t>
  </si>
  <si>
    <t>HOR-2160</t>
  </si>
  <si>
    <t>WC - Com 150 ton Yoshi 2</t>
  </si>
  <si>
    <t>HOR-2161</t>
  </si>
  <si>
    <t>HOR-2170</t>
  </si>
  <si>
    <t>WC - Com 200 ton Yoshi</t>
  </si>
  <si>
    <t>HOR-2180</t>
  </si>
  <si>
    <t>HOR-3100</t>
  </si>
  <si>
    <t>HOR-3102</t>
  </si>
  <si>
    <t>HOR-3601</t>
  </si>
  <si>
    <t>WC - Nitretação Rubig</t>
  </si>
  <si>
    <t>HOR-3800</t>
  </si>
  <si>
    <t>HOR-3950</t>
  </si>
  <si>
    <t>HOR-3952</t>
  </si>
  <si>
    <t>WC - Que/Rev Engefor Branco</t>
  </si>
  <si>
    <t>HOR-5100</t>
  </si>
  <si>
    <t>WC - OFF Cal 30 ton Dorst DK 2</t>
  </si>
  <si>
    <t>HOR-5121</t>
  </si>
  <si>
    <t>WC - Cal 50 ton HORMEC HS</t>
  </si>
  <si>
    <t>HOR-5141</t>
  </si>
  <si>
    <t>WC - Cal 100 ton HORMEC</t>
  </si>
  <si>
    <t>HOR-5150</t>
  </si>
  <si>
    <t>WC - Cal 150 ton Jundiaí 1/2</t>
  </si>
  <si>
    <t>HOR-5160</t>
  </si>
  <si>
    <t>WC - Cal 200 ton Jundiai 1/2</t>
  </si>
  <si>
    <t>HOR-5180</t>
  </si>
  <si>
    <t>HOR-5181</t>
  </si>
  <si>
    <t>WC - Cal 500 ton Jundiai</t>
  </si>
  <si>
    <t>HOR-6200</t>
  </si>
  <si>
    <t>HOR-6201</t>
  </si>
  <si>
    <t>WC - Torno CNC Mazak 1/2</t>
  </si>
  <si>
    <t>HOR-6202</t>
  </si>
  <si>
    <t>HOR-6203</t>
  </si>
  <si>
    <t>HOR-6210</t>
  </si>
  <si>
    <t>HOR-6211</t>
  </si>
  <si>
    <t>WC - Cal 15 ton CBA (Cunhagem)</t>
  </si>
  <si>
    <t>HOR-6220</t>
  </si>
  <si>
    <t>HOR-6320</t>
  </si>
  <si>
    <t>HOR-6321</t>
  </si>
  <si>
    <t>WC - RFQ_Ret Wolters AC1250-F</t>
  </si>
  <si>
    <t>HOR-6401</t>
  </si>
  <si>
    <t>WC - Lapidadora MPL 1/2</t>
  </si>
  <si>
    <t>HOR-6403</t>
  </si>
  <si>
    <t>HOR-6413</t>
  </si>
  <si>
    <t>WC - Furadeira IBRATECH</t>
  </si>
  <si>
    <t>HOR-6414</t>
  </si>
  <si>
    <t>WC - Rosqueadeira 789</t>
  </si>
  <si>
    <t>HOR-6502</t>
  </si>
  <si>
    <t>HOR-7300</t>
  </si>
  <si>
    <t>HOR-7500</t>
  </si>
  <si>
    <t>HOR-7501</t>
  </si>
  <si>
    <t>HOR-7502</t>
  </si>
  <si>
    <t>HOR-7510</t>
  </si>
  <si>
    <t>WC - Jateadora Blastibras</t>
  </si>
  <si>
    <t>HOR-7520</t>
  </si>
  <si>
    <t>WC - Escovação Automát. Biela</t>
  </si>
  <si>
    <t>HOR-7521</t>
  </si>
  <si>
    <t>WC - OFF - Escov Automát Olhal</t>
  </si>
  <si>
    <t>HOR-7524</t>
  </si>
  <si>
    <t>HOR-7525</t>
  </si>
  <si>
    <t>WC - Esc ENGC Multe Est ANEL</t>
  </si>
  <si>
    <t>HOR-7700</t>
  </si>
  <si>
    <t>HOR-7701</t>
  </si>
  <si>
    <t>HOR-7910</t>
  </si>
  <si>
    <t>HOR-8013</t>
  </si>
  <si>
    <t>HOR-8101</t>
  </si>
  <si>
    <t>HOR-8302</t>
  </si>
  <si>
    <t>HOR-8401</t>
  </si>
  <si>
    <t>HOR-8404</t>
  </si>
  <si>
    <t>WC - Fluxagem - Detec trinca</t>
  </si>
  <si>
    <t>HOR-8414</t>
  </si>
  <si>
    <t>HOR-DECOM</t>
  </si>
  <si>
    <t>Decomissioned</t>
  </si>
  <si>
    <t>Req. machines Strategy + RFQ</t>
  </si>
  <si>
    <t>Obs. Vai até 2034</t>
  </si>
  <si>
    <t>Considerado na análise</t>
  </si>
  <si>
    <t>Observações</t>
  </si>
  <si>
    <t>WC no RFQ</t>
  </si>
  <si>
    <t>NECESSÁRIO INVESTIR?</t>
  </si>
  <si>
    <t>WC - Sub_Impregna</t>
  </si>
  <si>
    <t>WC - Sub_Metalgregorio</t>
  </si>
  <si>
    <t>WC - Sub_Unitrat</t>
  </si>
  <si>
    <t>WC - RFQ_Bru Brunitec Manual</t>
  </si>
  <si>
    <t>RFQ005</t>
  </si>
  <si>
    <t xml:space="preserve">Tipo de centro de trabalho </t>
  </si>
  <si>
    <t xml:space="preserve">Unid da empresa </t>
  </si>
  <si>
    <t xml:space="preserve">C/T principal </t>
  </si>
  <si>
    <t xml:space="preserve">Crítico no planejamento mestre </t>
  </si>
  <si>
    <t xml:space="preserve">Código de taxa oper  </t>
  </si>
  <si>
    <t xml:space="preserve">Código de taxa de operação de C/T de custo  </t>
  </si>
  <si>
    <t>Subcentro de trabalho</t>
  </si>
  <si>
    <t>M6000</t>
  </si>
  <si>
    <t>CR - Usi Romi Discov e Chiron</t>
  </si>
  <si>
    <t>RFQ_Bru BRUNITEC Manual</t>
  </si>
  <si>
    <t>WC - RFQ_Solda_Proj_BAM</t>
  </si>
  <si>
    <t>M7000</t>
  </si>
  <si>
    <t>RFQ006</t>
  </si>
  <si>
    <t>RFQ_Solda_Proj_BAM</t>
  </si>
  <si>
    <t>CR - Operações Manuais</t>
  </si>
  <si>
    <t>WC - IDLE - Impregnação 2</t>
  </si>
  <si>
    <t>DNU</t>
  </si>
  <si>
    <t>Do Not Use</t>
  </si>
  <si>
    <t>WC - RFQ_Mon Cravadora d Pinos</t>
  </si>
  <si>
    <t>CR - Vib Rosler,Otocar,Spiratr</t>
  </si>
  <si>
    <t>CR - Vib Total Finish Esferas</t>
  </si>
  <si>
    <t>WC - IDLE - Vib Spiratron 1</t>
  </si>
  <si>
    <t>WC - IDLE - Vib Spiratron 2</t>
  </si>
  <si>
    <t>CR - Jateadora Blastibras</t>
  </si>
  <si>
    <t>CR - Escov. Autom. Biela/Olhal</t>
  </si>
  <si>
    <t>WC - RFQ_Escovação Autom VERDE</t>
  </si>
  <si>
    <t>RFQ3_4</t>
  </si>
  <si>
    <t>Escovadoras</t>
  </si>
  <si>
    <t>WC - RFQ_Escovação Autom DURO</t>
  </si>
  <si>
    <t>CR - Esc ENGC Multe Est ROTOR</t>
  </si>
  <si>
    <t>CR - Esc ENGC Multe Est ANEL</t>
  </si>
  <si>
    <t>CR - Lav KIVERTRON/SUBRA</t>
  </si>
  <si>
    <t>WC - RFQ - Wash/Oil/Pack Cel</t>
  </si>
  <si>
    <t>CR - RFQ - Wash/Oil/Pack Cel</t>
  </si>
  <si>
    <t>WC - IDLE - Escov Man Olha/Bie</t>
  </si>
  <si>
    <t>WC - IDLE Retrabalho</t>
  </si>
  <si>
    <t>M0000</t>
  </si>
  <si>
    <t>CR - Embalagem manual</t>
  </si>
  <si>
    <t>WC - IDLE - Classif Olhal/Biel</t>
  </si>
  <si>
    <t>Centro de trabalho principal</t>
  </si>
  <si>
    <t>WC - IDLE - Selecionar</t>
  </si>
  <si>
    <t>CR - Inspecionar/Selecionar</t>
  </si>
  <si>
    <t>WC - Classificação Manual</t>
  </si>
  <si>
    <t>CR - Classificação Manual</t>
  </si>
  <si>
    <t>WC - IDLE - Selecionar Embalar</t>
  </si>
  <si>
    <t>CR - Fluxagem - Detec trinca</t>
  </si>
  <si>
    <t>WC - IDLE - Magnaflux</t>
  </si>
  <si>
    <t>CR - Auditoria Final</t>
  </si>
  <si>
    <t>DECOM</t>
  </si>
  <si>
    <t>WC - Ferramentaria</t>
  </si>
  <si>
    <t>Torno Mecânico</t>
  </si>
  <si>
    <t>M2000</t>
  </si>
  <si>
    <t>WC - Compactação</t>
  </si>
  <si>
    <t>Com 05/20 ton</t>
  </si>
  <si>
    <t>M3000</t>
  </si>
  <si>
    <t>WC - Sinterização</t>
  </si>
  <si>
    <t>Sin Abbott</t>
  </si>
  <si>
    <t>M5000</t>
  </si>
  <si>
    <t>WC - Calibragem</t>
  </si>
  <si>
    <t>Cal 30 ton</t>
  </si>
  <si>
    <t>WC - Usinagem</t>
  </si>
  <si>
    <t>Fresadora</t>
  </si>
  <si>
    <t>WC - Operações Secundárias</t>
  </si>
  <si>
    <t>Impregnação</t>
  </si>
  <si>
    <t>REW310</t>
  </si>
  <si>
    <t>WC - Mover para Retrabalho</t>
  </si>
  <si>
    <t>DUMM</t>
  </si>
  <si>
    <t>Dummy - No value</t>
  </si>
  <si>
    <t>SCH310</t>
  </si>
  <si>
    <t>WC - Operacao logistica</t>
  </si>
  <si>
    <t>CR - Fer Tor ROMI Multiplic30D</t>
  </si>
  <si>
    <t>WC - IDLE - Fer Hsm CHIRON FZ</t>
  </si>
  <si>
    <t>CR - Fer Torno Mazak Integrex</t>
  </si>
  <si>
    <t>CR - Fer Ferram. convencional</t>
  </si>
  <si>
    <t>CR - Fer Eletro erosão</t>
  </si>
  <si>
    <t>WC - IDLE - Fer Penet Sparks</t>
  </si>
  <si>
    <t>CR - Fer Retificas</t>
  </si>
  <si>
    <t>WC - GQS_IDLE - Com 5 t Neuber</t>
  </si>
  <si>
    <t>WC - IDLE - Com 12 ton Dorst</t>
  </si>
  <si>
    <t>WC - IDLE - Com 15 ton Dorst</t>
  </si>
  <si>
    <t>CR - Com 20 ton Yoshi</t>
  </si>
  <si>
    <t>WC - IDLE - Com 40 ton</t>
  </si>
  <si>
    <t>WC - IDLE - Com 40 ton Yoshi</t>
  </si>
  <si>
    <t>CR - Com 40/60 ton Yoshi 1 e 2</t>
  </si>
  <si>
    <t>WC - IDLE - Com Yosh 40/60 II</t>
  </si>
  <si>
    <t>WC - IDLE - Com 45e50 t Dorst</t>
  </si>
  <si>
    <t>WC - IDLE - Com 50 ton Dorst</t>
  </si>
  <si>
    <t>CR - Com 60 ton Yoshi 1/2/3</t>
  </si>
  <si>
    <t>CR - Com 100 ton Yoshi</t>
  </si>
  <si>
    <t>CR - Com AP100 ton GKN</t>
  </si>
  <si>
    <t>CR - Com 150 ton Yoshi 2</t>
  </si>
  <si>
    <t>CR - Com AP150 ton SACMI 1/2</t>
  </si>
  <si>
    <t>CR - Com 200 ton Yoshi</t>
  </si>
  <si>
    <t>CR - Com KPP 450 t Osterw 1/2</t>
  </si>
  <si>
    <t>WC - IDLE - Com 450 t Osterw 2</t>
  </si>
  <si>
    <t>CR - Sin Abbott RapidCool 1/2</t>
  </si>
  <si>
    <t>WC - IDLE - Sin Abbott 2</t>
  </si>
  <si>
    <t>CR - Sin Abbott Convencional 3</t>
  </si>
  <si>
    <t>310AER</t>
  </si>
  <si>
    <t>WC - GKN Aerospace</t>
  </si>
  <si>
    <t>Centro de trabalho de custeio</t>
  </si>
  <si>
    <t>Operações Manuais</t>
  </si>
  <si>
    <t>310ALM</t>
  </si>
  <si>
    <t>WC - Almoxarifado</t>
  </si>
  <si>
    <t>310APD</t>
  </si>
  <si>
    <t>WC - Aplicacao Desenvolv. APD</t>
  </si>
  <si>
    <t>310CMP</t>
  </si>
  <si>
    <t>WC - Compras</t>
  </si>
  <si>
    <t>310CSO</t>
  </si>
  <si>
    <t>WC - Custo Social</t>
  </si>
  <si>
    <t>310DIR</t>
  </si>
  <si>
    <t>WC - Diret. e Gerenc. d Fabric</t>
  </si>
  <si>
    <t>310ENG</t>
  </si>
  <si>
    <t>WC - Engenharia</t>
  </si>
  <si>
    <t>310FAB</t>
  </si>
  <si>
    <t>WC - Fabrica - Gerenciamento</t>
  </si>
  <si>
    <t>310FER</t>
  </si>
  <si>
    <t>310FIN</t>
  </si>
  <si>
    <t>WC - Financeiro / Contábil</t>
  </si>
  <si>
    <t>310GLO</t>
  </si>
  <si>
    <t>WC - Projeto LN</t>
  </si>
  <si>
    <t>310IT</t>
  </si>
  <si>
    <t>WC - Informatica</t>
  </si>
  <si>
    <t>310LEA</t>
  </si>
  <si>
    <t>WC - LEAN - Melhoria Contínua</t>
  </si>
  <si>
    <t>310LGI</t>
  </si>
  <si>
    <t>WC - Logística</t>
  </si>
  <si>
    <t>310MAN</t>
  </si>
  <si>
    <t>WC - Manutenção de Fábrica</t>
  </si>
  <si>
    <t>310QUA</t>
  </si>
  <si>
    <t>WC - Qualidade</t>
  </si>
  <si>
    <t>310REG</t>
  </si>
  <si>
    <t>WC - Regional</t>
  </si>
  <si>
    <t>310RH</t>
  </si>
  <si>
    <t>WC - Recursos Humanos</t>
  </si>
  <si>
    <t>310SEG</t>
  </si>
  <si>
    <t>WC - Saúde e Segurança</t>
  </si>
  <si>
    <t>310VEN</t>
  </si>
  <si>
    <t>WC - Vendas</t>
  </si>
  <si>
    <t>310WCE</t>
  </si>
  <si>
    <t>WC - Work Center STD</t>
  </si>
  <si>
    <t>WC - IDLE - Que Combustol</t>
  </si>
  <si>
    <t>WC - IDLE - Nitretação Hanson</t>
  </si>
  <si>
    <t>CR - Nitretação Rubig</t>
  </si>
  <si>
    <t>CR - Revenimento Engefor</t>
  </si>
  <si>
    <t>CR - Oxi Blue Star 1/2</t>
  </si>
  <si>
    <t>WC - IDLE - Oxi Blue Star 2</t>
  </si>
  <si>
    <t>CR - Que/Rev Engefor Branco</t>
  </si>
  <si>
    <t>WC - Sub_Hurt Infur</t>
  </si>
  <si>
    <t>Centro de trabalho de subcontratação</t>
  </si>
  <si>
    <t>WC - Sub_Gema</t>
  </si>
  <si>
    <t>WC - Sub_Bodycote Brasimet</t>
  </si>
  <si>
    <t>WC - Sub_Engefor</t>
  </si>
  <si>
    <t>WC - Sub_Magneti Marelli</t>
  </si>
  <si>
    <t>WC - Sub_Delphi - Cotia</t>
  </si>
  <si>
    <t>WC - Sub_Macfer Usinagem</t>
  </si>
  <si>
    <t>WC - Sub_Adalberto Jatofer</t>
  </si>
  <si>
    <t>WC - Sub_Kalena</t>
  </si>
  <si>
    <t>WC - Sub_WG Ind Mecanica</t>
  </si>
  <si>
    <t>WC - Sub_SDS</t>
  </si>
  <si>
    <t>WC - Sub_Zincagem Martins</t>
  </si>
  <si>
    <t>WC - Sub_Thermix Trat. Termico</t>
  </si>
  <si>
    <t>WC - Sub_Primat_Prosdac</t>
  </si>
  <si>
    <t>WC - Sub_Rovemar</t>
  </si>
  <si>
    <t>WC - Sub_GV Revestimentos</t>
  </si>
  <si>
    <t>WC - Sub_Shintani</t>
  </si>
  <si>
    <t>WC - Sub_Delphi - Piracicaba</t>
  </si>
  <si>
    <t>WC - Sub_EMS</t>
  </si>
  <si>
    <t>WC - Sub_Virgon</t>
  </si>
  <si>
    <t>WC - Sub_Metalúrgica Fujii</t>
  </si>
  <si>
    <t>WC - Sub_AutoCAM - Boituva</t>
  </si>
  <si>
    <t>WC - Sub_Micromil</t>
  </si>
  <si>
    <t>WC - Sub_Itaraí Trat. Térmicos</t>
  </si>
  <si>
    <t>WC - Sub_Primar</t>
  </si>
  <si>
    <t>WC - Sub_Aquarius</t>
  </si>
  <si>
    <t>WC - Sub_AutoCAM - SJBV</t>
  </si>
  <si>
    <t>WC - Sub_Samot</t>
  </si>
  <si>
    <t>WC - Sub</t>
  </si>
  <si>
    <t>CR - Cal 30t DorstDK 2&amp;15t CBA</t>
  </si>
  <si>
    <t>WC - Cal 30 ton Jundiai</t>
  </si>
  <si>
    <t>CR - Cal 30 ton Jundiai</t>
  </si>
  <si>
    <t>WC - IDLE - Cal 40 t RD 1/2/3</t>
  </si>
  <si>
    <t>WC - IDLE - Cal 40 ton RD 2</t>
  </si>
  <si>
    <t>WC - IDLE - Cal 40 ton RD 3</t>
  </si>
  <si>
    <t>WC - IDLE - Cal 65t Jund/Schu.</t>
  </si>
  <si>
    <t>CR - Cal 50 ton HORMEC HS</t>
  </si>
  <si>
    <t>WC - IDLE - Cal 100 t Dorst DK</t>
  </si>
  <si>
    <t>CR - Cal 100 ton HORMEC</t>
  </si>
  <si>
    <t>CR - Cal 150 ton Jundiaí 1/2</t>
  </si>
  <si>
    <t>WC - RFQ_Cal CNC 180 t Komage</t>
  </si>
  <si>
    <t>CR - RFQ_Cal CNC 180 t Komage</t>
  </si>
  <si>
    <t>CR - Cal 200 ton Jundiai 1/2</t>
  </si>
  <si>
    <t>WC - IDLE - Cal 200 t Jund. 2</t>
  </si>
  <si>
    <t>WC - RFQ - Cal CNC 250 t Dorst</t>
  </si>
  <si>
    <t>CR - RFQ - Cal CNC 250 t Dorst</t>
  </si>
  <si>
    <t>CR - Cal 350 ton Jundiai</t>
  </si>
  <si>
    <t>CR - Cal 500 ton Jundiai</t>
  </si>
  <si>
    <t>WC - IDLE - Fer Fresadora</t>
  </si>
  <si>
    <t>CR - Torno CNC Okuma 1/2/3/4</t>
  </si>
  <si>
    <t>CR - OFF - Torno CNC Mazak 1/2</t>
  </si>
  <si>
    <t>CR - Tor FAMAR SUB160 &amp; Bi-SUB</t>
  </si>
  <si>
    <t>CR - Gre LEWA</t>
  </si>
  <si>
    <t>CR - Gre INGENIA-FANUC</t>
  </si>
  <si>
    <t>WC - IDLE - Ret Cilind. Toyoda</t>
  </si>
  <si>
    <t>WC - IDLE - Ret Dup. Face Koyo</t>
  </si>
  <si>
    <t>CR - Ret Wolters AC700-F</t>
  </si>
  <si>
    <t>WC - RFQ_Ret Wolters AC1000-F</t>
  </si>
  <si>
    <t>RFQ002</t>
  </si>
  <si>
    <t>RFQ_Wolters AC1000-F</t>
  </si>
  <si>
    <t>WC - IDLE - Lapidadora</t>
  </si>
  <si>
    <t>CR - Lapidadora MPL 1/2</t>
  </si>
  <si>
    <t>WC - IDLE -Lapid. Discovery560</t>
  </si>
  <si>
    <t>CR - Lapidadora ENGC 1/2 - CNC</t>
  </si>
  <si>
    <t>WC - IDLE - Lapidadora ENGC 2</t>
  </si>
  <si>
    <t>WC - IDLE - Furadeira</t>
  </si>
  <si>
    <t>WC - IDLE - Furadeira Samid</t>
  </si>
  <si>
    <t>WC -IDLE - Furadeira 2 Cabeças</t>
  </si>
  <si>
    <t>CR - Furadeira IBRATECH</t>
  </si>
  <si>
    <t>CR - Rosqueadeira 789</t>
  </si>
  <si>
    <t>WC - IDLE - Usi Doosan VC3600</t>
  </si>
  <si>
    <t>WC - IDLE - Usi Fanuc Robodril</t>
  </si>
  <si>
    <t>TESTE 2</t>
  </si>
  <si>
    <t>RFQ102030</t>
  </si>
  <si>
    <t>RFQ405060</t>
  </si>
  <si>
    <t>Peça A</t>
  </si>
  <si>
    <t>Peça B</t>
  </si>
  <si>
    <t>company</t>
  </si>
  <si>
    <t>group</t>
  </si>
  <si>
    <t>Jhon</t>
  </si>
  <si>
    <t>Mark</t>
  </si>
  <si>
    <t>CustomerA</t>
  </si>
  <si>
    <t>CustomerB</t>
  </si>
  <si>
    <t>countryA</t>
  </si>
  <si>
    <t>countryB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</si>
</sst>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Verdana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FF0000"/>
      <name val="Arial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DE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90FF90"/>
        <bgColor indexed="64"/>
      </patternFill>
    </fill>
    <fill>
      <patternFill patternType="solid">
        <fgColor rgb="FFFFD1DE"/>
        <bgColor indexed="64"/>
      </patternFill>
    </fill>
    <fill>
      <patternFill patternType="solid">
        <fgColor rgb="FFFFFFD0"/>
        <bgColor indexed="64"/>
      </patternFill>
    </fill>
    <fill>
      <patternFill patternType="solid">
        <fgColor rgb="FFAAFFAA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C0D1F8"/>
        <bgColor indexed="64"/>
      </patternFill>
    </fill>
    <fill>
      <patternFill patternType="solid">
        <fgColor rgb="FFD9E3FB"/>
        <bgColor indexed="64"/>
      </patternFill>
    </fill>
    <fill>
      <patternFill patternType="solid">
        <fgColor rgb="FFBBCCFF"/>
        <bgColor indexed="64"/>
      </patternFill>
    </fill>
    <fill>
      <patternFill patternType="solid">
        <fgColor rgb="FF00FFA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DDBF2"/>
        <bgColor indexed="64"/>
      </patternFill>
    </fill>
    <fill>
      <patternFill patternType="solid">
        <fgColor rgb="FFB2FE8C"/>
        <bgColor indexed="64"/>
      </patternFill>
    </fill>
  </fills>
  <borders count="28">
    <border>
      <left/>
      <right/>
      <top/>
      <bottom/>
      <diagonal/>
    </border>
    <border>
      <left style="medium">
        <color rgb="FFBED6F8"/>
      </left>
      <right style="medium">
        <color rgb="FFBED6F8"/>
      </right>
      <top style="medium">
        <color rgb="FFBED6F8"/>
      </top>
      <bottom style="medium">
        <color rgb="FFBED6F8"/>
      </bottom>
      <diagonal/>
    </border>
    <border>
      <left style="medium">
        <color rgb="FFBED6F8"/>
      </left>
      <right/>
      <top style="medium">
        <color rgb="FFBED6F8"/>
      </top>
      <bottom style="medium">
        <color rgb="FFBED6F8"/>
      </bottom>
      <diagonal/>
    </border>
    <border>
      <left/>
      <right style="medium">
        <color rgb="FFBED6F8"/>
      </right>
      <top style="medium">
        <color rgb="FFBED6F8"/>
      </top>
      <bottom style="medium">
        <color rgb="FFBED6F8"/>
      </bottom>
      <diagonal/>
    </border>
    <border>
      <left/>
      <right/>
      <top style="medium">
        <color rgb="FFBED6F8"/>
      </top>
      <bottom style="medium">
        <color rgb="FFBED6F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BED6F8"/>
      </left>
      <right style="medium">
        <color rgb="FFBED6F8"/>
      </right>
      <top style="medium">
        <color rgb="FFBED6F8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 indent="1"/>
    </xf>
    <xf numFmtId="0" fontId="5" fillId="5" borderId="1" xfId="0" applyFont="1" applyFill="1" applyBorder="1" applyAlignment="1">
      <alignment horizontal="right" vertical="center" indent="1"/>
    </xf>
    <xf numFmtId="0" fontId="5" fillId="6" borderId="1" xfId="0" applyFont="1" applyFill="1" applyBorder="1" applyAlignment="1">
      <alignment horizontal="right" vertical="center" indent="1"/>
    </xf>
    <xf numFmtId="0" fontId="5" fillId="7" borderId="1" xfId="0" applyFont="1" applyFill="1" applyBorder="1" applyAlignment="1">
      <alignment horizontal="right" vertical="center" indent="1"/>
    </xf>
    <xf numFmtId="0" fontId="5" fillId="8" borderId="1" xfId="0" applyFont="1" applyFill="1" applyBorder="1" applyAlignment="1">
      <alignment horizontal="right" vertical="center" indent="1"/>
    </xf>
    <xf numFmtId="0" fontId="5" fillId="9" borderId="1" xfId="0" applyFont="1" applyFill="1" applyBorder="1" applyAlignment="1">
      <alignment horizontal="right" vertical="center" indent="1"/>
    </xf>
    <xf numFmtId="0" fontId="5" fillId="10" borderId="1" xfId="0" applyFont="1" applyFill="1" applyBorder="1" applyAlignment="1">
      <alignment horizontal="right" vertical="center" indent="1"/>
    </xf>
    <xf numFmtId="0" fontId="5" fillId="11" borderId="1" xfId="0" applyFont="1" applyFill="1" applyBorder="1" applyAlignment="1">
      <alignment horizontal="right" vertical="center" indent="1"/>
    </xf>
    <xf numFmtId="0" fontId="5" fillId="12" borderId="1" xfId="0" applyFont="1" applyFill="1" applyBorder="1" applyAlignment="1">
      <alignment horizontal="right" vertical="center" indent="1"/>
    </xf>
    <xf numFmtId="0" fontId="5" fillId="13" borderId="1" xfId="0" applyFont="1" applyFill="1" applyBorder="1" applyAlignment="1">
      <alignment horizontal="right" vertical="center" indent="1"/>
    </xf>
    <xf numFmtId="0" fontId="5" fillId="14" borderId="1" xfId="0" applyFont="1" applyFill="1" applyBorder="1" applyAlignment="1">
      <alignment horizontal="right" vertical="center" indent="1"/>
    </xf>
    <xf numFmtId="0" fontId="6" fillId="15" borderId="5" xfId="0" applyFont="1" applyFill="1" applyBorder="1" applyAlignment="1">
      <alignment horizontal="left" vertical="center" indent="1"/>
    </xf>
    <xf numFmtId="0" fontId="6" fillId="4" borderId="5" xfId="0" applyFont="1" applyFill="1" applyBorder="1" applyAlignment="1">
      <alignment horizontal="right" vertical="center" indent="1"/>
    </xf>
    <xf numFmtId="0" fontId="6" fillId="5" borderId="5" xfId="0" applyFont="1" applyFill="1" applyBorder="1" applyAlignment="1">
      <alignment horizontal="right" vertical="center" indent="1"/>
    </xf>
    <xf numFmtId="0" fontId="6" fillId="6" borderId="5" xfId="0" applyFont="1" applyFill="1" applyBorder="1" applyAlignment="1">
      <alignment horizontal="right" vertical="center" indent="1"/>
    </xf>
    <xf numFmtId="0" fontId="6" fillId="7" borderId="5" xfId="0" applyFont="1" applyFill="1" applyBorder="1" applyAlignment="1">
      <alignment horizontal="right" vertical="center" indent="1"/>
    </xf>
    <xf numFmtId="0" fontId="6" fillId="8" borderId="5" xfId="0" applyFont="1" applyFill="1" applyBorder="1" applyAlignment="1">
      <alignment horizontal="right" vertical="center" indent="1"/>
    </xf>
    <xf numFmtId="0" fontId="6" fillId="9" borderId="5" xfId="0" applyFont="1" applyFill="1" applyBorder="1" applyAlignment="1">
      <alignment horizontal="right" vertical="center" indent="1"/>
    </xf>
    <xf numFmtId="0" fontId="6" fillId="10" borderId="5" xfId="0" applyFont="1" applyFill="1" applyBorder="1" applyAlignment="1">
      <alignment horizontal="right" vertical="center" indent="1"/>
    </xf>
    <xf numFmtId="0" fontId="6" fillId="11" borderId="5" xfId="0" applyFont="1" applyFill="1" applyBorder="1" applyAlignment="1">
      <alignment horizontal="right" vertical="center" indent="1"/>
    </xf>
    <xf numFmtId="0" fontId="6" fillId="12" borderId="5" xfId="0" applyFont="1" applyFill="1" applyBorder="1" applyAlignment="1">
      <alignment horizontal="right" vertical="center" indent="1"/>
    </xf>
    <xf numFmtId="0" fontId="6" fillId="13" borderId="5" xfId="0" applyFont="1" applyFill="1" applyBorder="1" applyAlignment="1">
      <alignment horizontal="right" vertical="center" indent="1"/>
    </xf>
    <xf numFmtId="0" fontId="6" fillId="14" borderId="5" xfId="0" applyFont="1" applyFill="1" applyBorder="1" applyAlignment="1">
      <alignment horizontal="right" vertical="center" inden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15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6" fillId="15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0" fontId="6" fillId="11" borderId="5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13" borderId="5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6" fillId="16" borderId="5" xfId="0" applyFont="1" applyFill="1" applyBorder="1" applyAlignment="1">
      <alignment horizontal="right" vertical="center" indent="1"/>
    </xf>
    <xf numFmtId="2" fontId="5" fillId="16" borderId="1" xfId="0" applyNumberFormat="1" applyFont="1" applyFill="1" applyBorder="1" applyAlignment="1">
      <alignment horizontal="right" vertical="center" indent="1"/>
    </xf>
    <xf numFmtId="164" fontId="5" fillId="3" borderId="1" xfId="0" applyNumberFormat="1" applyFont="1" applyFill="1" applyBorder="1" applyAlignment="1">
      <alignment horizontal="center" vertical="center"/>
    </xf>
    <xf numFmtId="164" fontId="5" fillId="16" borderId="1" xfId="0" applyNumberFormat="1" applyFont="1" applyFill="1" applyBorder="1" applyAlignment="1">
      <alignment horizontal="right" vertical="center" indent="1"/>
    </xf>
    <xf numFmtId="164" fontId="6" fillId="16" borderId="5" xfId="0" applyNumberFormat="1" applyFont="1" applyFill="1" applyBorder="1" applyAlignment="1">
      <alignment horizontal="right" vertical="center" indent="1"/>
    </xf>
    <xf numFmtId="164" fontId="0" fillId="0" borderId="0" xfId="0" applyNumberFormat="1"/>
    <xf numFmtId="2" fontId="5" fillId="6" borderId="1" xfId="0" applyNumberFormat="1" applyFont="1" applyFill="1" applyBorder="1" applyAlignment="1">
      <alignment horizontal="right" vertical="center" indent="1"/>
    </xf>
    <xf numFmtId="0" fontId="9" fillId="0" borderId="0" xfId="0" applyFont="1"/>
    <xf numFmtId="0" fontId="9" fillId="17" borderId="8" xfId="0" applyFont="1" applyFill="1" applyBorder="1"/>
    <xf numFmtId="0" fontId="6" fillId="15" borderId="10" xfId="0" applyFont="1" applyFill="1" applyBorder="1" applyAlignment="1">
      <alignment horizontal="left" vertical="center" indent="1"/>
    </xf>
    <xf numFmtId="0" fontId="6" fillId="4" borderId="10" xfId="0" applyFont="1" applyFill="1" applyBorder="1" applyAlignment="1">
      <alignment horizontal="right" vertical="center" indent="1"/>
    </xf>
    <xf numFmtId="0" fontId="6" fillId="5" borderId="10" xfId="0" applyFont="1" applyFill="1" applyBorder="1" applyAlignment="1">
      <alignment horizontal="right" vertical="center" indent="1"/>
    </xf>
    <xf numFmtId="0" fontId="6" fillId="16" borderId="10" xfId="0" applyFont="1" applyFill="1" applyBorder="1" applyAlignment="1">
      <alignment horizontal="right" vertical="center" indent="1"/>
    </xf>
    <xf numFmtId="0" fontId="6" fillId="6" borderId="10" xfId="0" applyFont="1" applyFill="1" applyBorder="1" applyAlignment="1">
      <alignment horizontal="right" vertical="center" indent="1"/>
    </xf>
    <xf numFmtId="0" fontId="6" fillId="7" borderId="10" xfId="0" applyFont="1" applyFill="1" applyBorder="1" applyAlignment="1">
      <alignment horizontal="right" vertical="center" indent="1"/>
    </xf>
    <xf numFmtId="0" fontId="6" fillId="8" borderId="10" xfId="0" applyFont="1" applyFill="1" applyBorder="1" applyAlignment="1">
      <alignment horizontal="right" vertical="center" indent="1"/>
    </xf>
    <xf numFmtId="0" fontId="6" fillId="9" borderId="10" xfId="0" applyFont="1" applyFill="1" applyBorder="1" applyAlignment="1">
      <alignment horizontal="right" vertical="center" indent="1"/>
    </xf>
    <xf numFmtId="0" fontId="6" fillId="10" borderId="10" xfId="0" applyFont="1" applyFill="1" applyBorder="1" applyAlignment="1">
      <alignment horizontal="right" vertical="center" indent="1"/>
    </xf>
    <xf numFmtId="0" fontId="6" fillId="11" borderId="10" xfId="0" applyFont="1" applyFill="1" applyBorder="1" applyAlignment="1">
      <alignment horizontal="right" vertical="center" indent="1"/>
    </xf>
    <xf numFmtId="0" fontId="6" fillId="12" borderId="10" xfId="0" applyFont="1" applyFill="1" applyBorder="1" applyAlignment="1">
      <alignment horizontal="right" vertical="center" indent="1"/>
    </xf>
    <xf numFmtId="0" fontId="6" fillId="13" borderId="10" xfId="0" applyFont="1" applyFill="1" applyBorder="1" applyAlignment="1">
      <alignment horizontal="right" vertical="center" indent="1"/>
    </xf>
    <xf numFmtId="0" fontId="6" fillId="14" borderId="10" xfId="0" applyFont="1" applyFill="1" applyBorder="1" applyAlignment="1">
      <alignment horizontal="right" vertical="center" indent="1"/>
    </xf>
    <xf numFmtId="0" fontId="1" fillId="0" borderId="0" xfId="0" applyFont="1"/>
    <xf numFmtId="0" fontId="10" fillId="0" borderId="0" xfId="0" applyFont="1" applyAlignment="1">
      <alignment horizontal="left" vertical="center" indent="1"/>
    </xf>
    <xf numFmtId="0" fontId="6" fillId="0" borderId="0" xfId="0" applyFont="1" applyAlignment="1">
      <alignment horizontal="right" vertical="center" indent="1"/>
    </xf>
    <xf numFmtId="0" fontId="1" fillId="18" borderId="7" xfId="0" applyFont="1" applyFill="1" applyBorder="1"/>
    <xf numFmtId="0" fontId="1" fillId="18" borderId="12" xfId="0" applyFont="1" applyFill="1" applyBorder="1"/>
    <xf numFmtId="0" fontId="1" fillId="18" borderId="13" xfId="0" applyFont="1" applyFill="1" applyBorder="1"/>
    <xf numFmtId="0" fontId="5" fillId="18" borderId="11" xfId="0" applyFont="1" applyFill="1" applyBorder="1" applyAlignment="1">
      <alignment horizontal="left" vertical="center" indent="1"/>
    </xf>
    <xf numFmtId="0" fontId="5" fillId="18" borderId="12" xfId="0" applyFont="1" applyFill="1" applyBorder="1" applyAlignment="1">
      <alignment horizontal="left" vertical="center" indent="1"/>
    </xf>
    <xf numFmtId="0" fontId="5" fillId="18" borderId="14" xfId="0" applyFont="1" applyFill="1" applyBorder="1" applyAlignment="1">
      <alignment horizontal="left" vertical="center" indent="1"/>
    </xf>
    <xf numFmtId="0" fontId="5" fillId="18" borderId="15" xfId="0" applyFont="1" applyFill="1" applyBorder="1" applyAlignment="1">
      <alignment horizontal="left" vertical="center" indent="1"/>
    </xf>
    <xf numFmtId="0" fontId="1" fillId="18" borderId="15" xfId="0" applyFont="1" applyFill="1" applyBorder="1"/>
    <xf numFmtId="0" fontId="1" fillId="18" borderId="16" xfId="0" applyFont="1" applyFill="1" applyBorder="1"/>
    <xf numFmtId="0" fontId="0" fillId="0" borderId="6" xfId="0" applyBorder="1"/>
    <xf numFmtId="0" fontId="1" fillId="18" borderId="9" xfId="0" applyFont="1" applyFill="1" applyBorder="1"/>
    <xf numFmtId="0" fontId="9" fillId="17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17" borderId="8" xfId="0" applyFont="1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1" fillId="17" borderId="8" xfId="0" applyFont="1" applyFill="1" applyBorder="1" applyAlignment="1">
      <alignment horizontal="center"/>
    </xf>
    <xf numFmtId="0" fontId="9" fillId="17" borderId="17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17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18" borderId="18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right" vertical="center" indent="1"/>
    </xf>
    <xf numFmtId="0" fontId="0" fillId="0" borderId="0" xfId="0" applyAlignment="1">
      <alignment horizontal="center" vertical="center" textRotation="90"/>
    </xf>
    <xf numFmtId="14" fontId="0" fillId="0" borderId="0" xfId="0" applyNumberFormat="1" applyAlignment="1">
      <alignment horizontal="center" vertical="center" textRotation="90"/>
    </xf>
    <xf numFmtId="21" fontId="0" fillId="0" borderId="0" xfId="0" applyNumberFormat="1" applyAlignment="1">
      <alignment horizontal="center" vertical="center" textRotation="90"/>
    </xf>
    <xf numFmtId="0" fontId="0" fillId="0" borderId="0" xfId="0" applyAlignment="1">
      <alignment textRotation="90"/>
    </xf>
    <xf numFmtId="0" fontId="9" fillId="0" borderId="0" xfId="0" applyFont="1" applyAlignment="1">
      <alignment horizontal="center" vertical="center" textRotation="90"/>
    </xf>
    <xf numFmtId="2" fontId="5" fillId="3" borderId="1" xfId="0" applyNumberFormat="1" applyFont="1" applyFill="1" applyBorder="1" applyAlignment="1">
      <alignment horizontal="center" vertical="center"/>
    </xf>
    <xf numFmtId="2" fontId="6" fillId="6" borderId="5" xfId="0" applyNumberFormat="1" applyFont="1" applyFill="1" applyBorder="1" applyAlignment="1">
      <alignment horizontal="right" vertical="center" indent="1"/>
    </xf>
    <xf numFmtId="2" fontId="0" fillId="0" borderId="0" xfId="0" applyNumberFormat="1"/>
    <xf numFmtId="2" fontId="6" fillId="19" borderId="5" xfId="0" applyNumberFormat="1" applyFont="1" applyFill="1" applyBorder="1" applyAlignment="1">
      <alignment horizontal="right" vertical="center" indent="1"/>
    </xf>
    <xf numFmtId="0" fontId="1" fillId="0" borderId="1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14" borderId="2" xfId="0" applyFont="1" applyFill="1" applyBorder="1" applyAlignment="1">
      <alignment horizontal="right" vertical="center" indent="1"/>
    </xf>
    <xf numFmtId="0" fontId="6" fillId="14" borderId="20" xfId="0" applyFont="1" applyFill="1" applyBorder="1" applyAlignment="1">
      <alignment horizontal="right" vertical="center" indent="1"/>
    </xf>
    <xf numFmtId="0" fontId="5" fillId="3" borderId="21" xfId="0" applyFont="1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6" fillId="15" borderId="22" xfId="0" applyFont="1" applyFill="1" applyBorder="1" applyAlignment="1">
      <alignment horizontal="left" vertical="center" indent="1"/>
    </xf>
    <xf numFmtId="0" fontId="0" fillId="0" borderId="23" xfId="0" applyBorder="1" applyAlignment="1">
      <alignment horizontal="center" vertical="center"/>
    </xf>
    <xf numFmtId="0" fontId="1" fillId="21" borderId="6" xfId="0" applyFont="1" applyFill="1" applyBorder="1" applyAlignment="1">
      <alignment vertical="center"/>
    </xf>
    <xf numFmtId="0" fontId="0" fillId="21" borderId="0" xfId="0" applyFill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0" fillId="22" borderId="8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right" vertical="center" indent="1"/>
    </xf>
    <xf numFmtId="0" fontId="3" fillId="15" borderId="5" xfId="0" applyFont="1" applyFill="1" applyBorder="1" applyAlignment="1">
      <alignment horizontal="left" vertical="center" indent="1"/>
    </xf>
    <xf numFmtId="0" fontId="3" fillId="7" borderId="5" xfId="0" applyFont="1" applyFill="1" applyBorder="1" applyAlignment="1">
      <alignment horizontal="right" vertical="center" indent="1"/>
    </xf>
    <xf numFmtId="0" fontId="3" fillId="11" borderId="5" xfId="0" applyFont="1" applyFill="1" applyBorder="1" applyAlignment="1">
      <alignment horizontal="right" vertical="center" indent="1"/>
    </xf>
    <xf numFmtId="0" fontId="3" fillId="12" borderId="5" xfId="0" applyFont="1" applyFill="1" applyBorder="1" applyAlignment="1">
      <alignment horizontal="right" vertical="center" indent="1"/>
    </xf>
    <xf numFmtId="0" fontId="3" fillId="13" borderId="5" xfId="0" applyFont="1" applyFill="1" applyBorder="1" applyAlignment="1">
      <alignment horizontal="right" vertical="center" indent="1"/>
    </xf>
    <xf numFmtId="0" fontId="3" fillId="14" borderId="5" xfId="0" applyFont="1" applyFill="1" applyBorder="1" applyAlignment="1">
      <alignment horizontal="right" vertical="center" indent="1"/>
    </xf>
    <xf numFmtId="0" fontId="4" fillId="11" borderId="2" xfId="0" applyFont="1" applyFill="1" applyBorder="1" applyAlignment="1">
      <alignment horizontal="right" vertical="center" indent="1"/>
    </xf>
    <xf numFmtId="0" fontId="4" fillId="3" borderId="21" xfId="0" applyFont="1" applyFill="1" applyBorder="1" applyAlignment="1">
      <alignment horizontal="center" vertical="center"/>
    </xf>
    <xf numFmtId="0" fontId="3" fillId="14" borderId="24" xfId="0" applyFont="1" applyFill="1" applyBorder="1" applyAlignment="1">
      <alignment horizontal="right" vertical="center" indent="1"/>
    </xf>
    <xf numFmtId="0" fontId="4" fillId="14" borderId="0" xfId="0" applyFont="1" applyFill="1" applyAlignment="1">
      <alignment horizontal="right" vertical="center" indent="1"/>
    </xf>
    <xf numFmtId="0" fontId="3" fillId="13" borderId="20" xfId="0" applyFont="1" applyFill="1" applyBorder="1" applyAlignment="1">
      <alignment horizontal="right" vertical="center" indent="1"/>
    </xf>
    <xf numFmtId="0" fontId="3" fillId="14" borderId="25" xfId="0" applyFont="1" applyFill="1" applyBorder="1" applyAlignment="1">
      <alignment horizontal="right" vertical="center" indent="1"/>
    </xf>
    <xf numFmtId="0" fontId="3" fillId="14" borderId="26" xfId="0" applyFont="1" applyFill="1" applyBorder="1" applyAlignment="1">
      <alignment horizontal="right" vertical="center" indent="1"/>
    </xf>
    <xf numFmtId="0" fontId="3" fillId="14" borderId="27" xfId="0" applyFont="1" applyFill="1" applyBorder="1" applyAlignment="1">
      <alignment horizontal="right" vertical="center" indent="1"/>
    </xf>
    <xf numFmtId="0" fontId="4" fillId="24" borderId="1" xfId="0" applyFont="1" applyFill="1" applyBorder="1" applyAlignment="1">
      <alignment horizontal="right" vertical="center" indent="1"/>
    </xf>
    <xf numFmtId="0" fontId="4" fillId="25" borderId="1" xfId="0" applyFont="1" applyFill="1" applyBorder="1" applyAlignment="1">
      <alignment horizontal="right" vertical="center" indent="1"/>
    </xf>
    <xf numFmtId="2" fontId="4" fillId="3" borderId="1" xfId="0" applyNumberFormat="1" applyFont="1" applyFill="1" applyBorder="1" applyAlignment="1">
      <alignment horizontal="center" vertical="center"/>
    </xf>
    <xf numFmtId="2" fontId="4" fillId="26" borderId="1" xfId="0" applyNumberFormat="1" applyFont="1" applyFill="1" applyBorder="1" applyAlignment="1">
      <alignment horizontal="right" vertical="center" indent="1"/>
    </xf>
    <xf numFmtId="2" fontId="3" fillId="6" borderId="5" xfId="0" applyNumberFormat="1" applyFont="1" applyFill="1" applyBorder="1" applyAlignment="1">
      <alignment horizontal="right" vertical="center" indent="1"/>
    </xf>
    <xf numFmtId="2" fontId="4" fillId="16" borderId="1" xfId="0" applyNumberFormat="1" applyFont="1" applyFill="1" applyBorder="1" applyAlignment="1">
      <alignment horizontal="right" vertical="center" indent="1"/>
    </xf>
    <xf numFmtId="2" fontId="3" fillId="16" borderId="5" xfId="0" applyNumberFormat="1" applyFont="1" applyFill="1" applyBorder="1" applyAlignment="1">
      <alignment horizontal="right" vertical="center" indent="1"/>
    </xf>
    <xf numFmtId="0" fontId="0" fillId="21" borderId="0" xfId="0" applyFill="1"/>
    <xf numFmtId="0" fontId="1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2" fontId="3" fillId="11" borderId="5" xfId="0" applyNumberFormat="1" applyFont="1" applyFill="1" applyBorder="1" applyAlignment="1">
      <alignment horizontal="right" vertical="center" inden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theme="9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B2FE8C"/>
      <color rgb="FFFDDBF2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76</xdr:row>
      <xdr:rowOff>0</xdr:rowOff>
    </xdr:from>
    <xdr:to>
      <xdr:col>3</xdr:col>
      <xdr:colOff>9525</xdr:colOff>
      <xdr:row>76</xdr:row>
      <xdr:rowOff>0</xdr:rowOff>
    </xdr:to>
    <xdr:pic>
      <xdr:nvPicPr>
        <xdr:cNvPr id="2" name="mainform:j_idt416:j_idt427">
          <a:extLst>
            <a:ext uri="{FF2B5EF4-FFF2-40B4-BE49-F238E27FC236}">
              <a16:creationId xmlns:a16="http://schemas.microsoft.com/office/drawing/2014/main" id="{2ADE3D97-9374-D525-C588-86BBFE5E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725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</xdr:rowOff>
    </xdr:to>
    <xdr:pic>
      <xdr:nvPicPr>
        <xdr:cNvPr id="2" name="mainform:j_idt416:j_idt427">
          <a:extLst>
            <a:ext uri="{FF2B5EF4-FFF2-40B4-BE49-F238E27FC236}">
              <a16:creationId xmlns:a16="http://schemas.microsoft.com/office/drawing/2014/main" id="{4AC2B113-71A5-4D4D-12F3-8E5386B68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7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</xdr:rowOff>
    </xdr:to>
    <xdr:pic>
      <xdr:nvPicPr>
        <xdr:cNvPr id="3" name="mainform:j_idt416:j_idt427">
          <a:extLst>
            <a:ext uri="{FF2B5EF4-FFF2-40B4-BE49-F238E27FC236}">
              <a16:creationId xmlns:a16="http://schemas.microsoft.com/office/drawing/2014/main" id="{64440034-0EF5-4744-8EFB-AA90E76A0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19602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</xdr:rowOff>
    </xdr:to>
    <xdr:pic>
      <xdr:nvPicPr>
        <xdr:cNvPr id="4" name="mainform:j_idt416:j_idt427">
          <a:extLst>
            <a:ext uri="{FF2B5EF4-FFF2-40B4-BE49-F238E27FC236}">
              <a16:creationId xmlns:a16="http://schemas.microsoft.com/office/drawing/2014/main" id="{844E30CF-5DDE-47CD-8EF3-B19082392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19602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0</xdr:colOff>
      <xdr:row>4</xdr:row>
      <xdr:rowOff>9525</xdr:rowOff>
    </xdr:to>
    <xdr:pic>
      <xdr:nvPicPr>
        <xdr:cNvPr id="5" name="mainform:j_idt416:j_idt427">
          <a:extLst>
            <a:ext uri="{FF2B5EF4-FFF2-40B4-BE49-F238E27FC236}">
              <a16:creationId xmlns:a16="http://schemas.microsoft.com/office/drawing/2014/main" id="{687CF7BC-315E-4E0E-BE43-FB3EA335B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1960245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2</xdr:col>
      <xdr:colOff>0</xdr:colOff>
      <xdr:row>24</xdr:row>
      <xdr:rowOff>9525</xdr:rowOff>
    </xdr:to>
    <xdr:pic>
      <xdr:nvPicPr>
        <xdr:cNvPr id="2" name="mainform:j_idt416:j_idt427">
          <a:extLst>
            <a:ext uri="{FF2B5EF4-FFF2-40B4-BE49-F238E27FC236}">
              <a16:creationId xmlns:a16="http://schemas.microsoft.com/office/drawing/2014/main" id="{9C322398-C1B8-1100-4078-EB6F9647B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238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35</xdr:row>
      <xdr:rowOff>0</xdr:rowOff>
    </xdr:from>
    <xdr:to>
      <xdr:col>2</xdr:col>
      <xdr:colOff>9525</xdr:colOff>
      <xdr:row>35</xdr:row>
      <xdr:rowOff>9525</xdr:rowOff>
    </xdr:to>
    <xdr:pic>
      <xdr:nvPicPr>
        <xdr:cNvPr id="2" name="mainform:j_idt416:j_idt427">
          <a:extLst>
            <a:ext uri="{FF2B5EF4-FFF2-40B4-BE49-F238E27FC236}">
              <a16:creationId xmlns:a16="http://schemas.microsoft.com/office/drawing/2014/main" id="{5A1F49CD-B82D-E6B4-B014-D421BEBFB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4392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69</xdr:col>
      <xdr:colOff>0</xdr:colOff>
      <xdr:row>3</xdr:row>
      <xdr:rowOff>0</xdr:rowOff>
    </xdr:from>
    <xdr:ext cx="9525" cy="9525"/>
    <xdr:pic>
      <xdr:nvPicPr>
        <xdr:cNvPr id="3" name="mainform:j_idt416:j_idt427">
          <a:extLst>
            <a:ext uri="{FF2B5EF4-FFF2-40B4-BE49-F238E27FC236}">
              <a16:creationId xmlns:a16="http://schemas.microsoft.com/office/drawing/2014/main" id="{387EA9AB-973B-4552-BED6-A813331D0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680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106</xdr:row>
      <xdr:rowOff>0</xdr:rowOff>
    </xdr:from>
    <xdr:to>
      <xdr:col>2</xdr:col>
      <xdr:colOff>9525</xdr:colOff>
      <xdr:row>106</xdr:row>
      <xdr:rowOff>9525</xdr:rowOff>
    </xdr:to>
    <xdr:pic>
      <xdr:nvPicPr>
        <xdr:cNvPr id="2" name="mainform:j_idt416:j_idt427">
          <a:extLst>
            <a:ext uri="{FF2B5EF4-FFF2-40B4-BE49-F238E27FC236}">
              <a16:creationId xmlns:a16="http://schemas.microsoft.com/office/drawing/2014/main" id="{BDF293C8-BAA7-F74A-9819-A32CEF540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4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0</xdr:colOff>
      <xdr:row>106</xdr:row>
      <xdr:rowOff>9525</xdr:rowOff>
    </xdr:to>
    <xdr:pic>
      <xdr:nvPicPr>
        <xdr:cNvPr id="4" name="mainform:j_idt416:j_idt427">
          <a:extLst>
            <a:ext uri="{FF2B5EF4-FFF2-40B4-BE49-F238E27FC236}">
              <a16:creationId xmlns:a16="http://schemas.microsoft.com/office/drawing/2014/main" id="{AABBEC87-2F4C-4EEC-8413-2B73520AB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480060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98</xdr:row>
      <xdr:rowOff>0</xdr:rowOff>
    </xdr:from>
    <xdr:to>
      <xdr:col>2</xdr:col>
      <xdr:colOff>9525</xdr:colOff>
      <xdr:row>98</xdr:row>
      <xdr:rowOff>9525</xdr:rowOff>
    </xdr:to>
    <xdr:pic>
      <xdr:nvPicPr>
        <xdr:cNvPr id="2" name="mainform:j_idt416:j_idt427">
          <a:extLst>
            <a:ext uri="{FF2B5EF4-FFF2-40B4-BE49-F238E27FC236}">
              <a16:creationId xmlns:a16="http://schemas.microsoft.com/office/drawing/2014/main" id="{35DDF97B-FC71-6562-2897-E0DE4D022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240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9525</xdr:colOff>
      <xdr:row>98</xdr:row>
      <xdr:rowOff>9525</xdr:rowOff>
    </xdr:to>
    <xdr:pic>
      <xdr:nvPicPr>
        <xdr:cNvPr id="3" name="mainform:j_idt416:j_idt427">
          <a:extLst>
            <a:ext uri="{FF2B5EF4-FFF2-40B4-BE49-F238E27FC236}">
              <a16:creationId xmlns:a16="http://schemas.microsoft.com/office/drawing/2014/main" id="{F01F981A-14E6-43DA-BFD7-5536C100D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2120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0</xdr:colOff>
      <xdr:row>98</xdr:row>
      <xdr:rowOff>9525</xdr:rowOff>
    </xdr:to>
    <xdr:pic>
      <xdr:nvPicPr>
        <xdr:cNvPr id="4" name="mainform:j_idt416:j_idt427">
          <a:extLst>
            <a:ext uri="{FF2B5EF4-FFF2-40B4-BE49-F238E27FC236}">
              <a16:creationId xmlns:a16="http://schemas.microsoft.com/office/drawing/2014/main" id="{5221F0C7-5C18-4B43-99A4-6CC87BB68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21202650"/>
          <a:ext cx="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2</xdr:col>
      <xdr:colOff>9525</xdr:colOff>
      <xdr:row>19</xdr:row>
      <xdr:rowOff>9525</xdr:rowOff>
    </xdr:to>
    <xdr:pic>
      <xdr:nvPicPr>
        <xdr:cNvPr id="2" name="mainform:j_idt416:j_idt427">
          <a:extLst>
            <a:ext uri="{FF2B5EF4-FFF2-40B4-BE49-F238E27FC236}">
              <a16:creationId xmlns:a16="http://schemas.microsoft.com/office/drawing/2014/main" id="{C856209C-3500-D982-A7D8-FDA64C8C0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22</xdr:row>
      <xdr:rowOff>0</xdr:rowOff>
    </xdr:from>
    <xdr:to>
      <xdr:col>2</xdr:col>
      <xdr:colOff>9525</xdr:colOff>
      <xdr:row>22</xdr:row>
      <xdr:rowOff>9525</xdr:rowOff>
    </xdr:to>
    <xdr:pic>
      <xdr:nvPicPr>
        <xdr:cNvPr id="2" name="mainform:j_idt416:j_idt427">
          <a:extLst>
            <a:ext uri="{FF2B5EF4-FFF2-40B4-BE49-F238E27FC236}">
              <a16:creationId xmlns:a16="http://schemas.microsoft.com/office/drawing/2014/main" id="{BDC503D4-3919-B20D-AE18-CFCA1C02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81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9525</xdr:colOff>
      <xdr:row>13</xdr:row>
      <xdr:rowOff>9525</xdr:rowOff>
    </xdr:to>
    <xdr:pic>
      <xdr:nvPicPr>
        <xdr:cNvPr id="2" name="mainform:j_idt416:j_idt427">
          <a:extLst>
            <a:ext uri="{FF2B5EF4-FFF2-40B4-BE49-F238E27FC236}">
              <a16:creationId xmlns:a16="http://schemas.microsoft.com/office/drawing/2014/main" id="{2AED7BD1-7DF9-8268-FB91-1136664D8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22</xdr:row>
      <xdr:rowOff>0</xdr:rowOff>
    </xdr:from>
    <xdr:to>
      <xdr:col>2</xdr:col>
      <xdr:colOff>9525</xdr:colOff>
      <xdr:row>22</xdr:row>
      <xdr:rowOff>9525</xdr:rowOff>
    </xdr:to>
    <xdr:pic>
      <xdr:nvPicPr>
        <xdr:cNvPr id="2" name="mainform:j_idt416:j_idt427">
          <a:extLst>
            <a:ext uri="{FF2B5EF4-FFF2-40B4-BE49-F238E27FC236}">
              <a16:creationId xmlns:a16="http://schemas.microsoft.com/office/drawing/2014/main" id="{55EE693B-94D2-CBA3-7A08-A4DDD3FEC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5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BD9C-1A78-4382-BC04-391BBD05F214}">
  <dimension ref="A1:S3"/>
  <sheetViews>
    <sheetView topLeftCell="B1" zoomScale="80" zoomScaleNormal="80" workbookViewId="0">
      <selection activeCell="C25" sqref="C25"/>
    </sheetView>
  </sheetViews>
  <sheetFormatPr defaultRowHeight="15" x14ac:dyDescent="0.25"/>
  <cols>
    <col min="1" max="1" width="13.5703125" hidden="1" customWidth="1"/>
    <col min="2" max="2" width="12.5703125" bestFit="1" customWidth="1"/>
    <col min="3" max="3" width="30.42578125" bestFit="1" customWidth="1"/>
    <col min="4" max="4" width="25.28515625" bestFit="1" customWidth="1"/>
    <col min="5" max="5" width="19.5703125" bestFit="1" customWidth="1"/>
    <col min="6" max="6" width="26.42578125" bestFit="1" customWidth="1"/>
    <col min="7" max="7" width="22.5703125" bestFit="1" customWidth="1"/>
    <col min="8" max="8" width="48.85546875" bestFit="1" customWidth="1"/>
    <col min="9" max="9" width="16.7109375" bestFit="1" customWidth="1"/>
    <col min="10" max="10" width="13.7109375" bestFit="1" customWidth="1"/>
    <col min="11" max="11" width="11.28515625" bestFit="1" customWidth="1"/>
    <col min="12" max="12" width="9.140625" style="155"/>
    <col min="13" max="13" width="8.140625" bestFit="1" customWidth="1"/>
    <col min="14" max="17" width="10.28515625" bestFit="1" customWidth="1"/>
    <col min="18" max="18" width="14.28515625" bestFit="1" customWidth="1"/>
    <col min="19" max="19" width="39.140625" bestFit="1" customWidth="1"/>
  </cols>
  <sheetData>
    <row r="1" spans="2:19" ht="30.75" thickBot="1" x14ac:dyDescent="0.3">
      <c r="B1" s="145" t="s">
        <v>0</v>
      </c>
      <c r="C1" s="146" t="s">
        <v>1</v>
      </c>
      <c r="D1" s="146" t="s">
        <v>2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54"/>
      <c r="M1" s="146">
        <v>2026</v>
      </c>
      <c r="N1" s="146">
        <v>2027</v>
      </c>
      <c r="O1" s="146">
        <v>2028</v>
      </c>
      <c r="P1" s="146">
        <v>2029</v>
      </c>
      <c r="Q1" s="146">
        <v>2030</v>
      </c>
      <c r="R1" s="156" t="s">
        <v>814</v>
      </c>
      <c r="S1" s="147" t="s">
        <v>815</v>
      </c>
    </row>
    <row r="2" spans="2:19" x14ac:dyDescent="0.25">
      <c r="B2" s="3" t="s">
        <v>1045</v>
      </c>
      <c r="C2" t="s">
        <v>1047</v>
      </c>
      <c r="D2" t="s">
        <v>1049</v>
      </c>
      <c r="E2" t="s">
        <v>1050</v>
      </c>
      <c r="F2" t="s">
        <v>1051</v>
      </c>
      <c r="G2" t="s">
        <v>1052</v>
      </c>
      <c r="H2" t="s">
        <v>1053</v>
      </c>
      <c r="I2" t="s">
        <v>1055</v>
      </c>
      <c r="J2">
        <v>3906676</v>
      </c>
      <c r="K2">
        <v>30</v>
      </c>
      <c r="M2">
        <v>200000</v>
      </c>
      <c r="N2">
        <v>200000</v>
      </c>
      <c r="O2">
        <v>200000</v>
      </c>
      <c r="P2">
        <v>200000</v>
      </c>
      <c r="Q2">
        <v>200000</v>
      </c>
      <c r="R2" s="157"/>
      <c r="S2" t="s">
        <v>813</v>
      </c>
    </row>
    <row r="3" spans="2:19" x14ac:dyDescent="0.25">
      <c r="B3" s="3" t="s">
        <v>1046</v>
      </c>
      <c r="C3" t="s">
        <v>1048</v>
      </c>
      <c r="D3" t="s">
        <v>1049</v>
      </c>
      <c r="E3" t="s">
        <v>1050</v>
      </c>
      <c r="F3" t="s">
        <v>1051</v>
      </c>
      <c r="G3" t="s">
        <v>1052</v>
      </c>
      <c r="H3" t="s">
        <v>1054</v>
      </c>
      <c r="I3" t="s">
        <v>1056</v>
      </c>
      <c r="J3">
        <v>385140</v>
      </c>
      <c r="K3">
        <v>40</v>
      </c>
      <c r="O3">
        <v>150000</v>
      </c>
      <c r="P3">
        <v>150000</v>
      </c>
      <c r="Q3">
        <v>150000</v>
      </c>
      <c r="R3" s="157"/>
      <c r="S3" t="s">
        <v>813</v>
      </c>
    </row>
  </sheetData>
  <autoFilter ref="B1:K3" xr:uid="{70EDBD9C-1A78-4382-BC04-391BBD05F214}"/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DA51-1A7C-43EF-A07E-14D02033ABB2}">
  <dimension ref="A1:AG78"/>
  <sheetViews>
    <sheetView zoomScale="70" zoomScaleNormal="70" workbookViewId="0">
      <pane xSplit="2" ySplit="1" topLeftCell="C13" activePane="bottomRight" state="frozen"/>
      <selection pane="topRight" activeCell="C1" sqref="C1"/>
      <selection pane="bottomLeft" activeCell="A2" sqref="A2"/>
      <selection pane="bottomRight" activeCell="A27" sqref="A27:XFD27"/>
    </sheetView>
  </sheetViews>
  <sheetFormatPr defaultRowHeight="15" x14ac:dyDescent="0.25"/>
  <cols>
    <col min="1" max="1" width="19.42578125" customWidth="1"/>
    <col min="2" max="2" width="15.7109375" bestFit="1" customWidth="1"/>
    <col min="3" max="3" width="36.85546875" bestFit="1" customWidth="1"/>
    <col min="4" max="4" width="16.28515625" bestFit="1" customWidth="1"/>
    <col min="5" max="10" width="11.7109375" customWidth="1"/>
    <col min="11" max="11" width="15" style="143" bestFit="1" customWidth="1"/>
    <col min="12" max="16" width="14" bestFit="1" customWidth="1"/>
    <col min="17" max="17" width="24.28515625" bestFit="1" customWidth="1"/>
    <col min="18" max="18" width="14" bestFit="1" customWidth="1"/>
    <col min="19" max="21" width="15.85546875" bestFit="1" customWidth="1"/>
    <col min="22" max="22" width="14.42578125" bestFit="1" customWidth="1"/>
    <col min="23" max="23" width="15.85546875" bestFit="1" customWidth="1"/>
    <col min="24" max="24" width="22" bestFit="1" customWidth="1"/>
    <col min="25" max="25" width="18.42578125" bestFit="1" customWidth="1"/>
    <col min="26" max="26" width="18.85546875" bestFit="1" customWidth="1"/>
    <col min="27" max="31" width="15.85546875" bestFit="1" customWidth="1"/>
    <col min="32" max="32" width="30.140625" style="2" bestFit="1" customWidth="1"/>
  </cols>
  <sheetData>
    <row r="1" spans="1:33" ht="30.75" thickBot="1" x14ac:dyDescent="0.3">
      <c r="B1" s="188"/>
      <c r="C1" s="189"/>
      <c r="D1" s="134" t="s">
        <v>131</v>
      </c>
      <c r="E1" s="188" t="s">
        <v>812</v>
      </c>
      <c r="F1" s="190"/>
      <c r="G1" s="190"/>
      <c r="H1" s="190"/>
      <c r="I1" s="190"/>
      <c r="J1" s="189"/>
      <c r="K1" s="188" t="s">
        <v>132</v>
      </c>
      <c r="L1" s="190"/>
      <c r="M1" s="190"/>
      <c r="N1" s="190"/>
      <c r="O1" s="190"/>
      <c r="P1" s="189"/>
      <c r="Q1" s="134" t="s">
        <v>133</v>
      </c>
      <c r="R1" s="188" t="s">
        <v>137</v>
      </c>
      <c r="S1" s="190"/>
      <c r="T1" s="190"/>
      <c r="U1" s="190"/>
      <c r="V1" s="190"/>
      <c r="W1" s="189"/>
      <c r="X1" s="134" t="s">
        <v>138</v>
      </c>
      <c r="Y1" s="134" t="s">
        <v>139</v>
      </c>
      <c r="Z1" s="188" t="s">
        <v>140</v>
      </c>
      <c r="AA1" s="190"/>
      <c r="AB1" s="190"/>
      <c r="AC1" s="190"/>
      <c r="AD1" s="190"/>
      <c r="AE1" s="189"/>
    </row>
    <row r="2" spans="1:33" ht="15.75" thickBot="1" x14ac:dyDescent="0.3">
      <c r="A2" s="7" t="s">
        <v>817</v>
      </c>
      <c r="B2" s="7" t="s">
        <v>141</v>
      </c>
      <c r="C2" s="7" t="s">
        <v>142</v>
      </c>
      <c r="D2" s="7" t="s">
        <v>143</v>
      </c>
      <c r="E2" s="7">
        <v>2025</v>
      </c>
      <c r="F2" s="7">
        <v>2026</v>
      </c>
      <c r="G2" s="7">
        <v>2027</v>
      </c>
      <c r="H2" s="7">
        <v>2028</v>
      </c>
      <c r="I2" s="7">
        <v>2029</v>
      </c>
      <c r="J2" s="7">
        <v>2030</v>
      </c>
      <c r="K2" s="141">
        <v>2025</v>
      </c>
      <c r="L2" s="7">
        <v>2026</v>
      </c>
      <c r="M2" s="7">
        <v>2027</v>
      </c>
      <c r="N2" s="7">
        <v>2028</v>
      </c>
      <c r="O2" s="7">
        <v>2029</v>
      </c>
      <c r="P2" s="7">
        <v>2030</v>
      </c>
      <c r="Q2" s="7" t="s">
        <v>144</v>
      </c>
      <c r="R2" s="7">
        <v>2025</v>
      </c>
      <c r="S2" s="7">
        <v>2026</v>
      </c>
      <c r="T2" s="7">
        <v>2027</v>
      </c>
      <c r="U2" s="7">
        <v>2028</v>
      </c>
      <c r="V2" s="7">
        <v>2029</v>
      </c>
      <c r="W2" s="7">
        <v>2030</v>
      </c>
      <c r="X2" s="7">
        <v>2025</v>
      </c>
      <c r="Y2" s="7">
        <v>2025</v>
      </c>
      <c r="Z2" s="7">
        <v>2025</v>
      </c>
      <c r="AA2" s="7">
        <v>2026</v>
      </c>
      <c r="AB2" s="7">
        <v>2027</v>
      </c>
      <c r="AC2" s="7">
        <v>2028</v>
      </c>
      <c r="AD2" s="7">
        <v>2029</v>
      </c>
      <c r="AE2" s="7">
        <v>2030</v>
      </c>
      <c r="AF2" s="150" t="s">
        <v>816</v>
      </c>
      <c r="AG2" t="s">
        <v>1044</v>
      </c>
    </row>
    <row r="3" spans="1:33" ht="15.75" thickBot="1" x14ac:dyDescent="0.3">
      <c r="A3" s="150"/>
      <c r="B3" s="7" t="s">
        <v>146</v>
      </c>
      <c r="C3" s="7"/>
      <c r="D3" s="9">
        <v>91</v>
      </c>
      <c r="E3" s="135">
        <v>41.21</v>
      </c>
      <c r="F3" s="135">
        <v>36.53</v>
      </c>
      <c r="G3" s="135">
        <v>38.68</v>
      </c>
      <c r="H3" s="135">
        <v>40.35</v>
      </c>
      <c r="I3" s="135">
        <v>42.32</v>
      </c>
      <c r="J3" s="135">
        <v>42.76</v>
      </c>
      <c r="K3" s="93">
        <v>41.21</v>
      </c>
      <c r="L3" s="10">
        <v>36.53</v>
      </c>
      <c r="M3" s="10">
        <v>38.68</v>
      </c>
      <c r="N3" s="10">
        <v>40.35</v>
      </c>
      <c r="O3" s="10">
        <v>42.32</v>
      </c>
      <c r="P3" s="10">
        <v>42.76</v>
      </c>
      <c r="Q3" s="11">
        <v>70.569999999999993</v>
      </c>
      <c r="R3" s="15">
        <v>143876</v>
      </c>
      <c r="S3" s="15">
        <v>145235.81</v>
      </c>
      <c r="T3" s="15">
        <v>157105.09</v>
      </c>
      <c r="U3" s="15">
        <v>166653.23000000001</v>
      </c>
      <c r="V3" s="15">
        <v>175697.4</v>
      </c>
      <c r="W3" s="15">
        <v>179794.39</v>
      </c>
      <c r="X3" s="16">
        <v>314991.12</v>
      </c>
      <c r="Y3" s="17">
        <v>388625.4</v>
      </c>
      <c r="Z3" s="18">
        <v>324110118.26999998</v>
      </c>
      <c r="AA3" s="18">
        <v>250540752</v>
      </c>
      <c r="AB3" s="18">
        <v>264593491</v>
      </c>
      <c r="AC3" s="18">
        <v>278627700</v>
      </c>
      <c r="AD3" s="18">
        <v>292647843</v>
      </c>
      <c r="AE3" s="148">
        <v>308508022</v>
      </c>
      <c r="AF3" s="151"/>
      <c r="AG3" t="str" cm="1">
        <f t="array" ref="AG3">IF(AND(ISERR(FIND("sim",INDEX('existencia de wc'!K$2:K$193,MATCH(IP_WC!C3,'existencia de wc'!B$2:B$192,0))))=FALSE,SUMPRODUCT(('2_LN_DadosExportados'!V$2:V$314=IP_WC!C3)*('2_LN_DadosExportados'!A$2:A$314="X"))&gt;0), "MOSTRAR","")</f>
        <v/>
      </c>
    </row>
    <row r="4" spans="1:33" ht="15.75" thickBot="1" x14ac:dyDescent="0.3">
      <c r="A4" s="153" t="str">
        <f>IF(OR(E4&gt;=D4,F4&gt;=D4,G4&gt;=D4,H4&gt;=D4,I4&gt;=D4,J4&gt;=D4),"INVEST","OK")</f>
        <v>OK</v>
      </c>
      <c r="B4" s="152" t="s">
        <v>694</v>
      </c>
      <c r="C4" s="19" t="s">
        <v>695</v>
      </c>
      <c r="D4" s="21">
        <v>1</v>
      </c>
      <c r="E4" s="144">
        <f>IFERROR(((SUMIFS('2_LN_DadosExportados'!AM:AM,'2_LN_DadosExportados'!$V:$V,$C4,'2_LN_DadosExportados'!$A:$A,"X")+R4)/$X4)*$D4,"")</f>
        <v>0</v>
      </c>
      <c r="F4" s="144">
        <f>IFERROR(((SUMIFS('2_LN_DadosExportados'!AN:AN,'2_LN_DadosExportados'!$V:$V,$C4,'2_LN_DadosExportados'!$A:$A,"X")+S4)/$X4)*$D4,"")</f>
        <v>0</v>
      </c>
      <c r="G4" s="144">
        <f>IFERROR(((SUMIFS('2_LN_DadosExportados'!AO:AO,'2_LN_DadosExportados'!$V:$V,$C4,'2_LN_DadosExportados'!$A:$A,"X")+T4)/$X4)*$D4,"")</f>
        <v>0</v>
      </c>
      <c r="H4" s="144">
        <f>IFERROR(((SUMIFS('2_LN_DadosExportados'!AP:AP,'2_LN_DadosExportados'!$V:$V,$C4,'2_LN_DadosExportados'!$A:$A,"X")+U4)/$X4)*$D4,"")</f>
        <v>0</v>
      </c>
      <c r="I4" s="144">
        <f>IFERROR(((SUMIFS('2_LN_DadosExportados'!AQ:AQ,'2_LN_DadosExportados'!$V:$V,$C4,'2_LN_DadosExportados'!$A:$A,"X")+V4)/$X4)*$D4,"")</f>
        <v>0</v>
      </c>
      <c r="J4" s="144">
        <f>IFERROR(((SUMIFS('2_LN_DadosExportados'!AR:AR,'2_LN_DadosExportados'!$V:$V,$C4,'2_LN_DadosExportados'!$A:$A,"X")+W4)/$X4)*$D4,"")</f>
        <v>0</v>
      </c>
      <c r="K4" s="142">
        <f t="shared" ref="K4:K20" si="0">IFERROR(R4/$X4*$D4,"")</f>
        <v>0</v>
      </c>
      <c r="L4" s="142">
        <f t="shared" ref="L4:L21" si="1">IFERROR(S4/$X4*$D4,"")</f>
        <v>0</v>
      </c>
      <c r="M4" s="142">
        <f t="shared" ref="M4:M21" si="2">IFERROR(T4/$X4*$D4,"")</f>
        <v>0</v>
      </c>
      <c r="N4" s="142">
        <f t="shared" ref="N4:N21" si="3">IFERROR(U4/$X4*$D4,"")</f>
        <v>0</v>
      </c>
      <c r="O4" s="142">
        <f t="shared" ref="O4:O21" si="4">IFERROR(V4/$X4*$D4,"")</f>
        <v>0</v>
      </c>
      <c r="P4" s="142">
        <f t="shared" ref="P4:P21" si="5">IFERROR(W4/$X4*$D4,"")</f>
        <v>0</v>
      </c>
      <c r="Q4" s="23">
        <v>90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8">
        <f t="shared" ref="X4" si="6">Y4*(Q4/100)</f>
        <v>5443.2</v>
      </c>
      <c r="Y4" s="29">
        <f t="shared" ref="Y4" si="7">24*5.25*48*D4</f>
        <v>6048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149">
        <v>0</v>
      </c>
      <c r="AF4" s="151" t="str">
        <f>IFERROR(VLOOKUP(C4,'2_LN_DadosExportados'!V:V,1,FALSE),"")</f>
        <v/>
      </c>
      <c r="AG4" t="str" cm="1">
        <f t="array" ref="AG4">IF(AND(ISERR(FIND("sim",INDEX('existencia de wc'!K$2:K$193,MATCH(IP_WC!C4,'existencia de wc'!B$2:B$192,0))))=FALSE,SUMPRODUCT(('2_LN_DadosExportados'!V$2:V$314=IP_WC!C4)*('2_LN_DadosExportados'!A$2:A$314="X"))&gt;0), "MOSTRAR","")</f>
        <v/>
      </c>
    </row>
    <row r="5" spans="1:33" ht="15.75" thickBot="1" x14ac:dyDescent="0.3">
      <c r="A5" s="153" t="str">
        <f t="shared" ref="A5:A68" si="8">IF(OR(E5&gt;=D5,F5&gt;=D5,G5&gt;=D5,H5&gt;=D5,I5&gt;=D5,J5&gt;=D5),"INVEST","OK")</f>
        <v>OK</v>
      </c>
      <c r="B5" s="152" t="s">
        <v>696</v>
      </c>
      <c r="C5" s="19" t="s">
        <v>697</v>
      </c>
      <c r="D5" s="21">
        <v>1</v>
      </c>
      <c r="E5" s="144">
        <f>IFERROR(((SUMIFS('2_LN_DadosExportados'!AM:AM,'2_LN_DadosExportados'!$V:$V,$C5,'2_LN_DadosExportados'!$A:$A,"X")+R5)/$X5)*$D5,"")</f>
        <v>0</v>
      </c>
      <c r="F5" s="144">
        <f>IFERROR(((SUMIFS('2_LN_DadosExportados'!AN:AN,'2_LN_DadosExportados'!$V:$V,$C5,'2_LN_DadosExportados'!$A:$A,"X")+S5)/$X5)*$D5,"")</f>
        <v>0</v>
      </c>
      <c r="G5" s="144">
        <f>IFERROR(((SUMIFS('2_LN_DadosExportados'!AO:AO,'2_LN_DadosExportados'!$V:$V,$C5,'2_LN_DadosExportados'!$A:$A,"X")+T5)/$X5)*$D5,"")</f>
        <v>0</v>
      </c>
      <c r="H5" s="144">
        <f>IFERROR(((SUMIFS('2_LN_DadosExportados'!AP:AP,'2_LN_DadosExportados'!$V:$V,$C5,'2_LN_DadosExportados'!$A:$A,"X")+U5)/$X5)*$D5,"")</f>
        <v>0</v>
      </c>
      <c r="I5" s="144">
        <f>IFERROR(((SUMIFS('2_LN_DadosExportados'!AQ:AQ,'2_LN_DadosExportados'!$V:$V,$C5,'2_LN_DadosExportados'!$A:$A,"X")+V5)/$X5)*$D5,"")</f>
        <v>0</v>
      </c>
      <c r="J5" s="144">
        <f>IFERROR(((SUMIFS('2_LN_DadosExportados'!AR:AR,'2_LN_DadosExportados'!$V:$V,$C5,'2_LN_DadosExportados'!$A:$A,"X")+W5)/$X5)*$D5,"")</f>
        <v>0</v>
      </c>
      <c r="K5" s="142">
        <f t="shared" si="0"/>
        <v>0</v>
      </c>
      <c r="L5" s="142">
        <f t="shared" si="1"/>
        <v>0</v>
      </c>
      <c r="M5" s="142">
        <f t="shared" si="2"/>
        <v>0</v>
      </c>
      <c r="N5" s="142">
        <f t="shared" si="3"/>
        <v>0</v>
      </c>
      <c r="O5" s="142">
        <f t="shared" si="4"/>
        <v>0</v>
      </c>
      <c r="P5" s="142">
        <f t="shared" si="5"/>
        <v>0</v>
      </c>
      <c r="Q5" s="23">
        <v>90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8">
        <f t="shared" ref="X5:X68" si="9">Y5*(Q5/100)</f>
        <v>5443.2</v>
      </c>
      <c r="Y5" s="29">
        <f t="shared" ref="Y5:Y68" si="10">24*5.25*48*D5</f>
        <v>6048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149">
        <v>0</v>
      </c>
      <c r="AF5" s="151" t="str">
        <f>IFERROR(VLOOKUP(C5,'2_LN_DadosExportados'!V:V,1,FALSE),"")</f>
        <v/>
      </c>
      <c r="AG5" t="str" cm="1">
        <f t="array" ref="AG5">IF(AND(ISERR(FIND("sim",INDEX('existencia de wc'!K$2:K$193,MATCH(IP_WC!C5,'existencia de wc'!B$2:B$192,0))))=FALSE,SUMPRODUCT(('2_LN_DadosExportados'!V$2:V$314=IP_WC!C5)*('2_LN_DadosExportados'!A$2:A$314="X"))&gt;0), "MOSTRAR","")</f>
        <v/>
      </c>
    </row>
    <row r="6" spans="1:33" ht="15.75" thickBot="1" x14ac:dyDescent="0.3">
      <c r="A6" s="153" t="str">
        <f t="shared" si="8"/>
        <v>OK</v>
      </c>
      <c r="B6" s="152" t="s">
        <v>698</v>
      </c>
      <c r="C6" s="19" t="s">
        <v>699</v>
      </c>
      <c r="D6" s="21">
        <v>1</v>
      </c>
      <c r="E6" s="144">
        <f>IFERROR(((SUMIFS('2_LN_DadosExportados'!AM:AM,'2_LN_DadosExportados'!$V:$V,$C6,'2_LN_DadosExportados'!$A:$A,"X")+R6)/$X6)*$D6,"")</f>
        <v>0</v>
      </c>
      <c r="F6" s="144">
        <f>IFERROR(((SUMIFS('2_LN_DadosExportados'!AN:AN,'2_LN_DadosExportados'!$V:$V,$C6,'2_LN_DadosExportados'!$A:$A,"X")+S6)/$X6)*$D6,"")</f>
        <v>0</v>
      </c>
      <c r="G6" s="144">
        <f>IFERROR(((SUMIFS('2_LN_DadosExportados'!AO:AO,'2_LN_DadosExportados'!$V:$V,$C6,'2_LN_DadosExportados'!$A:$A,"X")+T6)/$X6)*$D6,"")</f>
        <v>0</v>
      </c>
      <c r="H6" s="144">
        <f>IFERROR(((SUMIFS('2_LN_DadosExportados'!AP:AP,'2_LN_DadosExportados'!$V:$V,$C6,'2_LN_DadosExportados'!$A:$A,"X")+U6)/$X6)*$D6,"")</f>
        <v>0</v>
      </c>
      <c r="I6" s="144">
        <f>IFERROR(((SUMIFS('2_LN_DadosExportados'!AQ:AQ,'2_LN_DadosExportados'!$V:$V,$C6,'2_LN_DadosExportados'!$A:$A,"X")+V6)/$X6)*$D6,"")</f>
        <v>0</v>
      </c>
      <c r="J6" s="144">
        <f>IFERROR(((SUMIFS('2_LN_DadosExportados'!AR:AR,'2_LN_DadosExportados'!$V:$V,$C6,'2_LN_DadosExportados'!$A:$A,"X")+W6)/$X6)*$D6,"")</f>
        <v>0</v>
      </c>
      <c r="K6" s="142">
        <f t="shared" si="0"/>
        <v>0</v>
      </c>
      <c r="L6" s="142">
        <f t="shared" si="1"/>
        <v>0</v>
      </c>
      <c r="M6" s="142">
        <f t="shared" si="2"/>
        <v>0</v>
      </c>
      <c r="N6" s="142">
        <f t="shared" si="3"/>
        <v>0</v>
      </c>
      <c r="O6" s="142">
        <f t="shared" si="4"/>
        <v>0</v>
      </c>
      <c r="P6" s="142">
        <f t="shared" si="5"/>
        <v>0</v>
      </c>
      <c r="Q6" s="23">
        <v>90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8">
        <f t="shared" si="9"/>
        <v>5443.2</v>
      </c>
      <c r="Y6" s="29">
        <f t="shared" si="10"/>
        <v>6048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149">
        <v>0</v>
      </c>
      <c r="AF6" s="151" t="str">
        <f>IFERROR(VLOOKUP(C6,'2_LN_DadosExportados'!V:V,1,FALSE),"")</f>
        <v/>
      </c>
      <c r="AG6" t="str" cm="1">
        <f t="array" ref="AG6">IF(AND(ISERR(FIND("sim",INDEX('existencia de wc'!K$2:K$193,MATCH(IP_WC!C6,'existencia de wc'!B$2:B$192,0))))=FALSE,SUMPRODUCT(('2_LN_DadosExportados'!V$2:V$314=IP_WC!C6)*('2_LN_DadosExportados'!A$2:A$314="X"))&gt;0), "MOSTRAR","")</f>
        <v/>
      </c>
    </row>
    <row r="7" spans="1:33" ht="15.75" thickBot="1" x14ac:dyDescent="0.3">
      <c r="A7" s="153" t="str">
        <f t="shared" si="8"/>
        <v>OK</v>
      </c>
      <c r="B7" s="152" t="s">
        <v>700</v>
      </c>
      <c r="C7" s="19" t="s">
        <v>701</v>
      </c>
      <c r="D7" s="21">
        <v>1</v>
      </c>
      <c r="E7" s="144">
        <f>IFERROR(((SUMIFS('2_LN_DadosExportados'!AM:AM,'2_LN_DadosExportados'!$V:$V,$C7,'2_LN_DadosExportados'!$A:$A,"X")+R7)/$X7)*$D7,"")</f>
        <v>0</v>
      </c>
      <c r="F7" s="144">
        <f>IFERROR(((SUMIFS('2_LN_DadosExportados'!AN:AN,'2_LN_DadosExportados'!$V:$V,$C7,'2_LN_DadosExportados'!$A:$A,"X")+S7)/$X7)*$D7,"")</f>
        <v>0</v>
      </c>
      <c r="G7" s="144">
        <f>IFERROR(((SUMIFS('2_LN_DadosExportados'!AO:AO,'2_LN_DadosExportados'!$V:$V,$C7,'2_LN_DadosExportados'!$A:$A,"X")+T7)/$X7)*$D7,"")</f>
        <v>0</v>
      </c>
      <c r="H7" s="144">
        <f>IFERROR(((SUMIFS('2_LN_DadosExportados'!AP:AP,'2_LN_DadosExportados'!$V:$V,$C7,'2_LN_DadosExportados'!$A:$A,"X")+U7)/$X7)*$D7,"")</f>
        <v>0</v>
      </c>
      <c r="I7" s="144">
        <f>IFERROR(((SUMIFS('2_LN_DadosExportados'!AQ:AQ,'2_LN_DadosExportados'!$V:$V,$C7,'2_LN_DadosExportados'!$A:$A,"X")+V7)/$X7)*$D7,"")</f>
        <v>0</v>
      </c>
      <c r="J7" s="144">
        <f>IFERROR(((SUMIFS('2_LN_DadosExportados'!AR:AR,'2_LN_DadosExportados'!$V:$V,$C7,'2_LN_DadosExportados'!$A:$A,"X")+W7)/$X7)*$D7,"")</f>
        <v>0</v>
      </c>
      <c r="K7" s="142">
        <f t="shared" si="0"/>
        <v>0</v>
      </c>
      <c r="L7" s="142">
        <f t="shared" si="1"/>
        <v>0</v>
      </c>
      <c r="M7" s="142">
        <f t="shared" si="2"/>
        <v>0</v>
      </c>
      <c r="N7" s="142">
        <f t="shared" si="3"/>
        <v>0</v>
      </c>
      <c r="O7" s="142">
        <f t="shared" si="4"/>
        <v>0</v>
      </c>
      <c r="P7" s="142">
        <f t="shared" si="5"/>
        <v>0</v>
      </c>
      <c r="Q7" s="23">
        <v>90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8">
        <f t="shared" si="9"/>
        <v>5443.2</v>
      </c>
      <c r="Y7" s="29">
        <f t="shared" si="10"/>
        <v>6048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149">
        <v>0</v>
      </c>
      <c r="AF7" s="151" t="str">
        <f>IFERROR(VLOOKUP(C7,'2_LN_DadosExportados'!V:V,1,FALSE),"")</f>
        <v/>
      </c>
      <c r="AG7" t="str" cm="1">
        <f t="array" ref="AG7">IF(AND(ISERR(FIND("sim",INDEX('existencia de wc'!K$2:K$193,MATCH(IP_WC!C7,'existencia de wc'!B$2:B$192,0))))=FALSE,SUMPRODUCT(('2_LN_DadosExportados'!V$2:V$314=IP_WC!C7)*('2_LN_DadosExportados'!A$2:A$314="X"))&gt;0), "MOSTRAR","")</f>
        <v/>
      </c>
    </row>
    <row r="8" spans="1:33" ht="15.75" thickBot="1" x14ac:dyDescent="0.3">
      <c r="A8" s="153" t="str">
        <f t="shared" si="8"/>
        <v>OK</v>
      </c>
      <c r="B8" s="152" t="s">
        <v>702</v>
      </c>
      <c r="C8" s="19" t="s">
        <v>703</v>
      </c>
      <c r="D8" s="21">
        <v>1</v>
      </c>
      <c r="E8" s="144">
        <f>IFERROR(((SUMIFS('2_LN_DadosExportados'!AM:AM,'2_LN_DadosExportados'!$V:$V,$C8,'2_LN_DadosExportados'!$A:$A,"X")+R8)/$X8)*$D8,"")</f>
        <v>0</v>
      </c>
      <c r="F8" s="144">
        <f>IFERROR(((SUMIFS('2_LN_DadosExportados'!AN:AN,'2_LN_DadosExportados'!$V:$V,$C8,'2_LN_DadosExportados'!$A:$A,"X")+S8)/$X8)*$D8,"")</f>
        <v>0</v>
      </c>
      <c r="G8" s="144">
        <f>IFERROR(((SUMIFS('2_LN_DadosExportados'!AO:AO,'2_LN_DadosExportados'!$V:$V,$C8,'2_LN_DadosExportados'!$A:$A,"X")+T8)/$X8)*$D8,"")</f>
        <v>0</v>
      </c>
      <c r="H8" s="144">
        <f>IFERROR(((SUMIFS('2_LN_DadosExportados'!AP:AP,'2_LN_DadosExportados'!$V:$V,$C8,'2_LN_DadosExportados'!$A:$A,"X")+U8)/$X8)*$D8,"")</f>
        <v>0</v>
      </c>
      <c r="I8" s="144">
        <f>IFERROR(((SUMIFS('2_LN_DadosExportados'!AQ:AQ,'2_LN_DadosExportados'!$V:$V,$C8,'2_LN_DadosExportados'!$A:$A,"X")+V8)/$X8)*$D8,"")</f>
        <v>0</v>
      </c>
      <c r="J8" s="144">
        <f>IFERROR(((SUMIFS('2_LN_DadosExportados'!AR:AR,'2_LN_DadosExportados'!$V:$V,$C8,'2_LN_DadosExportados'!$A:$A,"X")+W8)/$X8)*$D8,"")</f>
        <v>0</v>
      </c>
      <c r="K8" s="142">
        <f t="shared" si="0"/>
        <v>0</v>
      </c>
      <c r="L8" s="142">
        <f t="shared" si="1"/>
        <v>0</v>
      </c>
      <c r="M8" s="142">
        <f t="shared" si="2"/>
        <v>0</v>
      </c>
      <c r="N8" s="142">
        <f t="shared" si="3"/>
        <v>0</v>
      </c>
      <c r="O8" s="142">
        <f t="shared" si="4"/>
        <v>0</v>
      </c>
      <c r="P8" s="142">
        <f t="shared" si="5"/>
        <v>0</v>
      </c>
      <c r="Q8" s="23">
        <v>90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8">
        <f t="shared" si="9"/>
        <v>5443.2</v>
      </c>
      <c r="Y8" s="29">
        <f t="shared" si="10"/>
        <v>6048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149">
        <v>0</v>
      </c>
      <c r="AF8" s="151" t="str">
        <f>IFERROR(VLOOKUP(C8,'2_LN_DadosExportados'!V:V,1,FALSE),"")</f>
        <v/>
      </c>
      <c r="AG8" t="str" cm="1">
        <f t="array" ref="AG8">IF(AND(ISERR(FIND("sim",INDEX('existencia de wc'!K$2:K$193,MATCH(IP_WC!C8,'existencia de wc'!B$2:B$192,0))))=FALSE,SUMPRODUCT(('2_LN_DadosExportados'!V$2:V$314=IP_WC!C8)*('2_LN_DadosExportados'!A$2:A$314="X"))&gt;0), "MOSTRAR","")</f>
        <v/>
      </c>
    </row>
    <row r="9" spans="1:33" ht="15.75" thickBot="1" x14ac:dyDescent="0.3">
      <c r="A9" s="153" t="str">
        <f t="shared" si="8"/>
        <v>OK</v>
      </c>
      <c r="B9" s="152" t="s">
        <v>704</v>
      </c>
      <c r="C9" s="19" t="s">
        <v>705</v>
      </c>
      <c r="D9" s="21">
        <v>1</v>
      </c>
      <c r="E9" s="144">
        <f>IFERROR(((SUMIFS('2_LN_DadosExportados'!AM:AM,'2_LN_DadosExportados'!$V:$V,$C9,'2_LN_DadosExportados'!$A:$A,"X")+R9)/$X9)*$D9,"")</f>
        <v>0</v>
      </c>
      <c r="F9" s="144">
        <f>IFERROR(((SUMIFS('2_LN_DadosExportados'!AN:AN,'2_LN_DadosExportados'!$V:$V,$C9,'2_LN_DadosExportados'!$A:$A,"X")+S9)/$X9)*$D9,"")</f>
        <v>0</v>
      </c>
      <c r="G9" s="144">
        <f>IFERROR(((SUMIFS('2_LN_DadosExportados'!AO:AO,'2_LN_DadosExportados'!$V:$V,$C9,'2_LN_DadosExportados'!$A:$A,"X")+T9)/$X9)*$D9,"")</f>
        <v>0</v>
      </c>
      <c r="H9" s="144">
        <f>IFERROR(((SUMIFS('2_LN_DadosExportados'!AP:AP,'2_LN_DadosExportados'!$V:$V,$C9,'2_LN_DadosExportados'!$A:$A,"X")+U9)/$X9)*$D9,"")</f>
        <v>0</v>
      </c>
      <c r="I9" s="144">
        <f>IFERROR(((SUMIFS('2_LN_DadosExportados'!AQ:AQ,'2_LN_DadosExportados'!$V:$V,$C9,'2_LN_DadosExportados'!$A:$A,"X")+V9)/$X9)*$D9,"")</f>
        <v>0</v>
      </c>
      <c r="J9" s="144">
        <f>IFERROR(((SUMIFS('2_LN_DadosExportados'!AR:AR,'2_LN_DadosExportados'!$V:$V,$C9,'2_LN_DadosExportados'!$A:$A,"X")+W9)/$X9)*$D9,"")</f>
        <v>0</v>
      </c>
      <c r="K9" s="142">
        <f t="shared" si="0"/>
        <v>0</v>
      </c>
      <c r="L9" s="142">
        <f t="shared" si="1"/>
        <v>0</v>
      </c>
      <c r="M9" s="142">
        <f t="shared" si="2"/>
        <v>0</v>
      </c>
      <c r="N9" s="142">
        <f t="shared" si="3"/>
        <v>0</v>
      </c>
      <c r="O9" s="142">
        <f t="shared" si="4"/>
        <v>0</v>
      </c>
      <c r="P9" s="142">
        <f t="shared" si="5"/>
        <v>0</v>
      </c>
      <c r="Q9" s="23">
        <v>90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8">
        <f t="shared" si="9"/>
        <v>5443.2</v>
      </c>
      <c r="Y9" s="29">
        <f t="shared" si="10"/>
        <v>6048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149">
        <v>0</v>
      </c>
      <c r="AF9" s="151" t="str">
        <f>IFERROR(VLOOKUP(C9,'2_LN_DadosExportados'!V:V,1,FALSE),"")</f>
        <v/>
      </c>
      <c r="AG9" t="str" cm="1">
        <f t="array" ref="AG9">IF(AND(ISERR(FIND("sim",INDEX('existencia de wc'!K$2:K$193,MATCH(IP_WC!C9,'existencia de wc'!B$2:B$192,0))))=FALSE,SUMPRODUCT(('2_LN_DadosExportados'!V$2:V$314=IP_WC!C9)*('2_LN_DadosExportados'!A$2:A$314="X"))&gt;0), "MOSTRAR","")</f>
        <v/>
      </c>
    </row>
    <row r="10" spans="1:33" ht="15.75" thickBot="1" x14ac:dyDescent="0.3">
      <c r="A10" s="153" t="str">
        <f t="shared" si="8"/>
        <v>OK</v>
      </c>
      <c r="B10" s="152" t="s">
        <v>706</v>
      </c>
      <c r="C10" s="19" t="s">
        <v>707</v>
      </c>
      <c r="D10" s="21">
        <v>1</v>
      </c>
      <c r="E10" s="144">
        <f>IFERROR(((SUMIFS('2_LN_DadosExportados'!AM:AM,'2_LN_DadosExportados'!$V:$V,$C10,'2_LN_DadosExportados'!$A:$A,"X")+R10)/$X10)*$D10,"")</f>
        <v>0</v>
      </c>
      <c r="F10" s="144">
        <f>IFERROR(((SUMIFS('2_LN_DadosExportados'!AN:AN,'2_LN_DadosExportados'!$V:$V,$C10,'2_LN_DadosExportados'!$A:$A,"X")+S10)/$X10)*$D10,"")</f>
        <v>0</v>
      </c>
      <c r="G10" s="144">
        <f>IFERROR(((SUMIFS('2_LN_DadosExportados'!AO:AO,'2_LN_DadosExportados'!$V:$V,$C10,'2_LN_DadosExportados'!$A:$A,"X")+T10)/$X10)*$D10,"")</f>
        <v>0</v>
      </c>
      <c r="H10" s="144">
        <f>IFERROR(((SUMIFS('2_LN_DadosExportados'!AP:AP,'2_LN_DadosExportados'!$V:$V,$C10,'2_LN_DadosExportados'!$A:$A,"X")+U10)/$X10)*$D10,"")</f>
        <v>0</v>
      </c>
      <c r="I10" s="144">
        <f>IFERROR(((SUMIFS('2_LN_DadosExportados'!AQ:AQ,'2_LN_DadosExportados'!$V:$V,$C10,'2_LN_DadosExportados'!$A:$A,"X")+V10)/$X10)*$D10,"")</f>
        <v>0</v>
      </c>
      <c r="J10" s="144">
        <f>IFERROR(((SUMIFS('2_LN_DadosExportados'!AR:AR,'2_LN_DadosExportados'!$V:$V,$C10,'2_LN_DadosExportados'!$A:$A,"X")+W10)/$X10)*$D10,"")</f>
        <v>0</v>
      </c>
      <c r="K10" s="142">
        <f t="shared" si="0"/>
        <v>0</v>
      </c>
      <c r="L10" s="142">
        <f t="shared" si="1"/>
        <v>0</v>
      </c>
      <c r="M10" s="142">
        <f t="shared" si="2"/>
        <v>0</v>
      </c>
      <c r="N10" s="142">
        <f t="shared" si="3"/>
        <v>0</v>
      </c>
      <c r="O10" s="142">
        <f t="shared" si="4"/>
        <v>0</v>
      </c>
      <c r="P10" s="142">
        <f t="shared" si="5"/>
        <v>0</v>
      </c>
      <c r="Q10" s="23">
        <v>90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8">
        <f t="shared" si="9"/>
        <v>5443.2</v>
      </c>
      <c r="Y10" s="29">
        <f t="shared" si="10"/>
        <v>6048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149">
        <v>0</v>
      </c>
      <c r="AF10" s="151" t="str">
        <f>IFERROR(VLOOKUP(C10,'2_LN_DadosExportados'!V:V,1,FALSE),"")</f>
        <v/>
      </c>
      <c r="AG10" t="str" cm="1">
        <f t="array" ref="AG10">IF(AND(ISERR(FIND("sim",INDEX('existencia de wc'!K$2:K$193,MATCH(IP_WC!C10,'existencia de wc'!B$2:B$192,0))))=FALSE,SUMPRODUCT(('2_LN_DadosExportados'!V$2:V$314=IP_WC!C10)*('2_LN_DadosExportados'!A$2:A$314="X"))&gt;0), "MOSTRAR","")</f>
        <v/>
      </c>
    </row>
    <row r="11" spans="1:33" ht="15.75" thickBot="1" x14ac:dyDescent="0.3">
      <c r="A11" s="153" t="str">
        <f t="shared" si="8"/>
        <v>OK</v>
      </c>
      <c r="B11" s="152" t="s">
        <v>708</v>
      </c>
      <c r="C11" s="19" t="s">
        <v>709</v>
      </c>
      <c r="D11" s="21">
        <v>1</v>
      </c>
      <c r="E11" s="144">
        <f>IFERROR(((SUMIFS('2_LN_DadosExportados'!AM:AM,'2_LN_DadosExportados'!$V:$V,$C11,'2_LN_DadosExportados'!$A:$A,"X")+R11)/$X11)*$D11,"")</f>
        <v>0</v>
      </c>
      <c r="F11" s="144">
        <f>IFERROR(((SUMIFS('2_LN_DadosExportados'!AN:AN,'2_LN_DadosExportados'!$V:$V,$C11,'2_LN_DadosExportados'!$A:$A,"X")+S11)/$X11)*$D11,"")</f>
        <v>0</v>
      </c>
      <c r="G11" s="144">
        <f>IFERROR(((SUMIFS('2_LN_DadosExportados'!AO:AO,'2_LN_DadosExportados'!$V:$V,$C11,'2_LN_DadosExportados'!$A:$A,"X")+T11)/$X11)*$D11,"")</f>
        <v>0</v>
      </c>
      <c r="H11" s="144">
        <f>IFERROR(((SUMIFS('2_LN_DadosExportados'!AP:AP,'2_LN_DadosExportados'!$V:$V,$C11,'2_LN_DadosExportados'!$A:$A,"X")+U11)/$X11)*$D11,"")</f>
        <v>0</v>
      </c>
      <c r="I11" s="144">
        <f>IFERROR(((SUMIFS('2_LN_DadosExportados'!AQ:AQ,'2_LN_DadosExportados'!$V:$V,$C11,'2_LN_DadosExportados'!$A:$A,"X")+V11)/$X11)*$D11,"")</f>
        <v>0</v>
      </c>
      <c r="J11" s="144">
        <f>IFERROR(((SUMIFS('2_LN_DadosExportados'!AR:AR,'2_LN_DadosExportados'!$V:$V,$C11,'2_LN_DadosExportados'!$A:$A,"X")+W11)/$X11)*$D11,"")</f>
        <v>0</v>
      </c>
      <c r="K11" s="142">
        <f t="shared" si="0"/>
        <v>0</v>
      </c>
      <c r="L11" s="142">
        <f t="shared" si="1"/>
        <v>0</v>
      </c>
      <c r="M11" s="142">
        <f t="shared" si="2"/>
        <v>0</v>
      </c>
      <c r="N11" s="142">
        <f t="shared" si="3"/>
        <v>0</v>
      </c>
      <c r="O11" s="142">
        <f t="shared" si="4"/>
        <v>0</v>
      </c>
      <c r="P11" s="142">
        <f t="shared" si="5"/>
        <v>0</v>
      </c>
      <c r="Q11" s="23">
        <v>90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8">
        <f t="shared" si="9"/>
        <v>5443.2</v>
      </c>
      <c r="Y11" s="29">
        <f t="shared" si="10"/>
        <v>6048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149">
        <v>0</v>
      </c>
      <c r="AF11" s="151" t="str">
        <f>IFERROR(VLOOKUP(C11,'2_LN_DadosExportados'!V:V,1,FALSE),"")</f>
        <v/>
      </c>
      <c r="AG11" t="str" cm="1">
        <f t="array" ref="AG11">IF(AND(ISERR(FIND("sim",INDEX('existencia de wc'!K$2:K$193,MATCH(IP_WC!C11,'existencia de wc'!B$2:B$192,0))))=FALSE,SUMPRODUCT(('2_LN_DadosExportados'!V$2:V$314=IP_WC!C11)*('2_LN_DadosExportados'!A$2:A$314="X"))&gt;0), "MOSTRAR","")</f>
        <v/>
      </c>
    </row>
    <row r="12" spans="1:33" ht="15.75" thickBot="1" x14ac:dyDescent="0.3">
      <c r="A12" s="153" t="str">
        <f t="shared" si="8"/>
        <v>OK</v>
      </c>
      <c r="B12" s="152" t="s">
        <v>710</v>
      </c>
      <c r="C12" s="19" t="s">
        <v>711</v>
      </c>
      <c r="D12" s="21">
        <v>1</v>
      </c>
      <c r="E12" s="144">
        <f>IFERROR(((SUMIFS('2_LN_DadosExportados'!AM:AM,'2_LN_DadosExportados'!$V:$V,$C12,'2_LN_DadosExportados'!$A:$A,"X")+R12)/$X12)*$D12,"")</f>
        <v>0</v>
      </c>
      <c r="F12" s="144">
        <f>IFERROR(((SUMIFS('2_LN_DadosExportados'!AN:AN,'2_LN_DadosExportados'!$V:$V,$C12,'2_LN_DadosExportados'!$A:$A,"X")+S12)/$X12)*$D12,"")</f>
        <v>0</v>
      </c>
      <c r="G12" s="144">
        <f>IFERROR(((SUMIFS('2_LN_DadosExportados'!AO:AO,'2_LN_DadosExportados'!$V:$V,$C12,'2_LN_DadosExportados'!$A:$A,"X")+T12)/$X12)*$D12,"")</f>
        <v>0</v>
      </c>
      <c r="H12" s="144">
        <f>IFERROR(((SUMIFS('2_LN_DadosExportados'!AP:AP,'2_LN_DadosExportados'!$V:$V,$C12,'2_LN_DadosExportados'!$A:$A,"X")+U12)/$X12)*$D12,"")</f>
        <v>0</v>
      </c>
      <c r="I12" s="144">
        <f>IFERROR(((SUMIFS('2_LN_DadosExportados'!AQ:AQ,'2_LN_DadosExportados'!$V:$V,$C12,'2_LN_DadosExportados'!$A:$A,"X")+V12)/$X12)*$D12,"")</f>
        <v>0</v>
      </c>
      <c r="J12" s="144">
        <f>IFERROR(((SUMIFS('2_LN_DadosExportados'!AR:AR,'2_LN_DadosExportados'!$V:$V,$C12,'2_LN_DadosExportados'!$A:$A,"X")+W12)/$X12)*$D12,"")</f>
        <v>0</v>
      </c>
      <c r="K12" s="142">
        <f t="shared" si="0"/>
        <v>0</v>
      </c>
      <c r="L12" s="142">
        <f t="shared" si="1"/>
        <v>0</v>
      </c>
      <c r="M12" s="142">
        <f t="shared" si="2"/>
        <v>0</v>
      </c>
      <c r="N12" s="142">
        <f t="shared" si="3"/>
        <v>0</v>
      </c>
      <c r="O12" s="142">
        <f t="shared" si="4"/>
        <v>0</v>
      </c>
      <c r="P12" s="142">
        <f t="shared" si="5"/>
        <v>0</v>
      </c>
      <c r="Q12" s="23">
        <v>90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8">
        <f t="shared" si="9"/>
        <v>5443.2</v>
      </c>
      <c r="Y12" s="29">
        <f t="shared" si="10"/>
        <v>6048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149">
        <v>0</v>
      </c>
      <c r="AF12" s="151" t="str">
        <f>IFERROR(VLOOKUP(C12,'2_LN_DadosExportados'!V:V,1,FALSE),"")</f>
        <v/>
      </c>
      <c r="AG12" t="str" cm="1">
        <f t="array" ref="AG12">IF(AND(ISERR(FIND("sim",INDEX('existencia de wc'!K$2:K$193,MATCH(IP_WC!C12,'existencia de wc'!B$2:B$192,0))))=FALSE,SUMPRODUCT(('2_LN_DadosExportados'!V$2:V$314=IP_WC!C12)*('2_LN_DadosExportados'!A$2:A$314="X"))&gt;0), "MOSTRAR","")</f>
        <v/>
      </c>
    </row>
    <row r="13" spans="1:33" ht="15.75" thickBot="1" x14ac:dyDescent="0.3">
      <c r="A13" s="153" t="str">
        <f t="shared" si="8"/>
        <v>OK</v>
      </c>
      <c r="B13" s="152" t="s">
        <v>712</v>
      </c>
      <c r="C13" s="19" t="s">
        <v>713</v>
      </c>
      <c r="D13" s="21">
        <v>2</v>
      </c>
      <c r="E13" s="144">
        <f>IFERROR(((SUMIFS('2_LN_DadosExportados'!AM:AM,'2_LN_DadosExportados'!$V:$V,$C13,'2_LN_DadosExportados'!$A:$A,"X")+R13)/$X13)*$D13,"")</f>
        <v>0</v>
      </c>
      <c r="F13" s="144">
        <f>IFERROR(((SUMIFS('2_LN_DadosExportados'!AN:AN,'2_LN_DadosExportados'!$V:$V,$C13,'2_LN_DadosExportados'!$A:$A,"X")+S13)/$X13)*$D13,"")</f>
        <v>0</v>
      </c>
      <c r="G13" s="144">
        <f>IFERROR(((SUMIFS('2_LN_DadosExportados'!AO:AO,'2_LN_DadosExportados'!$V:$V,$C13,'2_LN_DadosExportados'!$A:$A,"X")+T13)/$X13)*$D13,"")</f>
        <v>0</v>
      </c>
      <c r="H13" s="144">
        <f>IFERROR(((SUMIFS('2_LN_DadosExportados'!AP:AP,'2_LN_DadosExportados'!$V:$V,$C13,'2_LN_DadosExportados'!$A:$A,"X")+U13)/$X13)*$D13,"")</f>
        <v>0</v>
      </c>
      <c r="I13" s="144">
        <f>IFERROR(((SUMIFS('2_LN_DadosExportados'!AQ:AQ,'2_LN_DadosExportados'!$V:$V,$C13,'2_LN_DadosExportados'!$A:$A,"X")+V13)/$X13)*$D13,"")</f>
        <v>0</v>
      </c>
      <c r="J13" s="144">
        <f>IFERROR(((SUMIFS('2_LN_DadosExportados'!AR:AR,'2_LN_DadosExportados'!$V:$V,$C13,'2_LN_DadosExportados'!$A:$A,"X")+W13)/$X13)*$D13,"")</f>
        <v>0</v>
      </c>
      <c r="K13" s="142">
        <f t="shared" si="0"/>
        <v>0</v>
      </c>
      <c r="L13" s="142">
        <f t="shared" si="1"/>
        <v>0</v>
      </c>
      <c r="M13" s="142">
        <f t="shared" si="2"/>
        <v>0</v>
      </c>
      <c r="N13" s="142">
        <f t="shared" si="3"/>
        <v>0</v>
      </c>
      <c r="O13" s="142">
        <f t="shared" si="4"/>
        <v>0</v>
      </c>
      <c r="P13" s="142">
        <f t="shared" si="5"/>
        <v>0</v>
      </c>
      <c r="Q13" s="23">
        <v>90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8">
        <f t="shared" si="9"/>
        <v>10886.4</v>
      </c>
      <c r="Y13" s="29">
        <f t="shared" si="10"/>
        <v>12096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149">
        <v>0</v>
      </c>
      <c r="AF13" s="151" t="str">
        <f>IFERROR(VLOOKUP(C13,'2_LN_DadosExportados'!V:V,1,FALSE),"")</f>
        <v/>
      </c>
      <c r="AG13" t="str" cm="1">
        <f t="array" ref="AG13">IF(AND(ISERR(FIND("sim",INDEX('existencia de wc'!K$2:K$193,MATCH(IP_WC!C13,'existencia de wc'!B$2:B$192,0))))=FALSE,SUMPRODUCT(('2_LN_DadosExportados'!V$2:V$314=IP_WC!C13)*('2_LN_DadosExportados'!A$2:A$314="X"))&gt;0), "MOSTRAR","")</f>
        <v/>
      </c>
    </row>
    <row r="14" spans="1:33" ht="15.75" thickBot="1" x14ac:dyDescent="0.3">
      <c r="A14" s="153" t="str">
        <f t="shared" si="8"/>
        <v>OK</v>
      </c>
      <c r="B14" s="152" t="s">
        <v>714</v>
      </c>
      <c r="C14" s="19" t="s">
        <v>715</v>
      </c>
      <c r="D14" s="21">
        <v>2</v>
      </c>
      <c r="E14" s="144">
        <f>IFERROR(((SUMIFS('2_LN_DadosExportados'!AM:AM,'2_LN_DadosExportados'!$V:$V,$C14,'2_LN_DadosExportados'!$A:$A,"X")+R14)/$X14)*$D14,"")</f>
        <v>0</v>
      </c>
      <c r="F14" s="144">
        <f>IFERROR(((SUMIFS('2_LN_DadosExportados'!AN:AN,'2_LN_DadosExportados'!$V:$V,$C14,'2_LN_DadosExportados'!$A:$A,"X")+S14)/$X14)*$D14,"")</f>
        <v>0</v>
      </c>
      <c r="G14" s="144">
        <f>IFERROR(((SUMIFS('2_LN_DadosExportados'!AO:AO,'2_LN_DadosExportados'!$V:$V,$C14,'2_LN_DadosExportados'!$A:$A,"X")+T14)/$X14)*$D14,"")</f>
        <v>0</v>
      </c>
      <c r="H14" s="144">
        <f>IFERROR(((SUMIFS('2_LN_DadosExportados'!AP:AP,'2_LN_DadosExportados'!$V:$V,$C14,'2_LN_DadosExportados'!$A:$A,"X")+U14)/$X14)*$D14,"")</f>
        <v>0</v>
      </c>
      <c r="I14" s="144">
        <f>IFERROR(((SUMIFS('2_LN_DadosExportados'!AQ:AQ,'2_LN_DadosExportados'!$V:$V,$C14,'2_LN_DadosExportados'!$A:$A,"X")+V14)/$X14)*$D14,"")</f>
        <v>0</v>
      </c>
      <c r="J14" s="144">
        <f>IFERROR(((SUMIFS('2_LN_DadosExportados'!AR:AR,'2_LN_DadosExportados'!$V:$V,$C14,'2_LN_DadosExportados'!$A:$A,"X")+W14)/$X14)*$D14,"")</f>
        <v>0</v>
      </c>
      <c r="K14" s="142">
        <f t="shared" si="0"/>
        <v>0</v>
      </c>
      <c r="L14" s="142">
        <f t="shared" si="1"/>
        <v>0</v>
      </c>
      <c r="M14" s="142">
        <f t="shared" si="2"/>
        <v>0</v>
      </c>
      <c r="N14" s="142">
        <f t="shared" si="3"/>
        <v>0</v>
      </c>
      <c r="O14" s="142">
        <f t="shared" si="4"/>
        <v>0</v>
      </c>
      <c r="P14" s="142">
        <f t="shared" si="5"/>
        <v>0</v>
      </c>
      <c r="Q14" s="23">
        <v>90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8">
        <f t="shared" si="9"/>
        <v>10886.4</v>
      </c>
      <c r="Y14" s="29">
        <f t="shared" si="10"/>
        <v>12096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149">
        <v>0</v>
      </c>
      <c r="AF14" s="151" t="str">
        <f>IFERROR(VLOOKUP(C14,'2_LN_DadosExportados'!V:V,1,FALSE),"")</f>
        <v/>
      </c>
      <c r="AG14" t="str" cm="1">
        <f t="array" ref="AG14">IF(AND(ISERR(FIND("sim",INDEX('existencia de wc'!K$2:K$193,MATCH(IP_WC!C14,'existencia de wc'!B$2:B$192,0))))=FALSE,SUMPRODUCT(('2_LN_DadosExportados'!V$2:V$314=IP_WC!C14)*('2_LN_DadosExportados'!A$2:A$314="X"))&gt;0), "MOSTRAR","")</f>
        <v/>
      </c>
    </row>
    <row r="15" spans="1:33" ht="15.75" thickBot="1" x14ac:dyDescent="0.3">
      <c r="A15" s="153" t="str">
        <f t="shared" si="8"/>
        <v>OK</v>
      </c>
      <c r="B15" s="152" t="s">
        <v>716</v>
      </c>
      <c r="C15" s="19" t="s">
        <v>717</v>
      </c>
      <c r="D15" s="21">
        <v>1</v>
      </c>
      <c r="E15" s="144">
        <f>IFERROR(((SUMIFS('2_LN_DadosExportados'!AM:AM,'2_LN_DadosExportados'!$V:$V,$C15,'2_LN_DadosExportados'!$A:$A,"X")+R15)/$X15)*$D15,"")</f>
        <v>0</v>
      </c>
      <c r="F15" s="144">
        <f>IFERROR(((SUMIFS('2_LN_DadosExportados'!AN:AN,'2_LN_DadosExportados'!$V:$V,$C15,'2_LN_DadosExportados'!$A:$A,"X")+S15)/$X15)*$D15,"")</f>
        <v>0</v>
      </c>
      <c r="G15" s="144">
        <f>IFERROR(((SUMIFS('2_LN_DadosExportados'!AO:AO,'2_LN_DadosExportados'!$V:$V,$C15,'2_LN_DadosExportados'!$A:$A,"X")+T15)/$X15)*$D15,"")</f>
        <v>0</v>
      </c>
      <c r="H15" s="144">
        <f>IFERROR(((SUMIFS('2_LN_DadosExportados'!AP:AP,'2_LN_DadosExportados'!$V:$V,$C15,'2_LN_DadosExportados'!$A:$A,"X")+U15)/$X15)*$D15,"")</f>
        <v>0</v>
      </c>
      <c r="I15" s="144">
        <f>IFERROR(((SUMIFS('2_LN_DadosExportados'!AQ:AQ,'2_LN_DadosExportados'!$V:$V,$C15,'2_LN_DadosExportados'!$A:$A,"X")+V15)/$X15)*$D15,"")</f>
        <v>0</v>
      </c>
      <c r="J15" s="144">
        <f>IFERROR(((SUMIFS('2_LN_DadosExportados'!AR:AR,'2_LN_DadosExportados'!$V:$V,$C15,'2_LN_DadosExportados'!$A:$A,"X")+W15)/$X15)*$D15,"")</f>
        <v>0</v>
      </c>
      <c r="K15" s="142">
        <f t="shared" si="0"/>
        <v>0</v>
      </c>
      <c r="L15" s="142">
        <f t="shared" si="1"/>
        <v>0</v>
      </c>
      <c r="M15" s="142">
        <f t="shared" si="2"/>
        <v>0</v>
      </c>
      <c r="N15" s="142">
        <f t="shared" si="3"/>
        <v>0</v>
      </c>
      <c r="O15" s="142">
        <f t="shared" si="4"/>
        <v>0</v>
      </c>
      <c r="P15" s="142">
        <f t="shared" si="5"/>
        <v>0</v>
      </c>
      <c r="Q15" s="23">
        <v>90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8">
        <f t="shared" si="9"/>
        <v>5443.2</v>
      </c>
      <c r="Y15" s="29">
        <f t="shared" si="10"/>
        <v>6048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149">
        <v>0</v>
      </c>
      <c r="AF15" s="151" t="str">
        <f>IFERROR(VLOOKUP(C15,'2_LN_DadosExportados'!V:V,1,FALSE),"")</f>
        <v/>
      </c>
      <c r="AG15" t="str" cm="1">
        <f t="array" ref="AG15">IF(AND(ISERR(FIND("sim",INDEX('existencia de wc'!K$2:K$193,MATCH(IP_WC!C15,'existencia de wc'!B$2:B$192,0))))=FALSE,SUMPRODUCT(('2_LN_DadosExportados'!V$2:V$314=IP_WC!C15)*('2_LN_DadosExportados'!A$2:A$314="X"))&gt;0), "MOSTRAR","")</f>
        <v/>
      </c>
    </row>
    <row r="16" spans="1:33" ht="15.75" thickBot="1" x14ac:dyDescent="0.3">
      <c r="A16" s="153" t="str">
        <f t="shared" si="8"/>
        <v>OK</v>
      </c>
      <c r="B16" s="152" t="s">
        <v>718</v>
      </c>
      <c r="C16" s="19" t="s">
        <v>719</v>
      </c>
      <c r="D16" s="21">
        <v>1</v>
      </c>
      <c r="E16" s="144">
        <f>IFERROR(((SUMIFS('2_LN_DadosExportados'!AM:AM,'2_LN_DadosExportados'!$V:$V,$C16,'2_LN_DadosExportados'!$A:$A,"X")+R16)/$X16)*$D16,"")</f>
        <v>0</v>
      </c>
      <c r="F16" s="144">
        <f>IFERROR(((SUMIFS('2_LN_DadosExportados'!AN:AN,'2_LN_DadosExportados'!$V:$V,$C16,'2_LN_DadosExportados'!$A:$A,"X")+S16)/$X16)*$D16,"")</f>
        <v>0</v>
      </c>
      <c r="G16" s="144">
        <f>IFERROR(((SUMIFS('2_LN_DadosExportados'!AO:AO,'2_LN_DadosExportados'!$V:$V,$C16,'2_LN_DadosExportados'!$A:$A,"X")+T16)/$X16)*$D16,"")</f>
        <v>0</v>
      </c>
      <c r="H16" s="144">
        <f>IFERROR(((SUMIFS('2_LN_DadosExportados'!AP:AP,'2_LN_DadosExportados'!$V:$V,$C16,'2_LN_DadosExportados'!$A:$A,"X")+U16)/$X16)*$D16,"")</f>
        <v>0</v>
      </c>
      <c r="I16" s="144">
        <f>IFERROR(((SUMIFS('2_LN_DadosExportados'!AQ:AQ,'2_LN_DadosExportados'!$V:$V,$C16,'2_LN_DadosExportados'!$A:$A,"X")+V16)/$X16)*$D16,"")</f>
        <v>0</v>
      </c>
      <c r="J16" s="144">
        <f>IFERROR(((SUMIFS('2_LN_DadosExportados'!AR:AR,'2_LN_DadosExportados'!$V:$V,$C16,'2_LN_DadosExportados'!$A:$A,"X")+W16)/$X16)*$D16,"")</f>
        <v>0</v>
      </c>
      <c r="K16" s="142">
        <f t="shared" si="0"/>
        <v>0</v>
      </c>
      <c r="L16" s="142">
        <f t="shared" si="1"/>
        <v>0</v>
      </c>
      <c r="M16" s="142">
        <f t="shared" si="2"/>
        <v>0</v>
      </c>
      <c r="N16" s="142">
        <f t="shared" si="3"/>
        <v>0</v>
      </c>
      <c r="O16" s="142">
        <f t="shared" si="4"/>
        <v>0</v>
      </c>
      <c r="P16" s="142">
        <f t="shared" si="5"/>
        <v>0</v>
      </c>
      <c r="Q16" s="23">
        <v>90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8">
        <f t="shared" si="9"/>
        <v>5443.2</v>
      </c>
      <c r="Y16" s="29">
        <f t="shared" si="10"/>
        <v>6048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149">
        <v>0</v>
      </c>
      <c r="AF16" s="151" t="str">
        <f>IFERROR(VLOOKUP(C16,'2_LN_DadosExportados'!V:V,1,FALSE),"")</f>
        <v/>
      </c>
      <c r="AG16" t="str" cm="1">
        <f t="array" ref="AG16">IF(AND(ISERR(FIND("sim",INDEX('existencia de wc'!K$2:K$193,MATCH(IP_WC!C16,'existencia de wc'!B$2:B$192,0))))=FALSE,SUMPRODUCT(('2_LN_DadosExportados'!V$2:V$314=IP_WC!C16)*('2_LN_DadosExportados'!A$2:A$314="X"))&gt;0), "MOSTRAR","")</f>
        <v/>
      </c>
    </row>
    <row r="17" spans="1:33" ht="15.75" thickBot="1" x14ac:dyDescent="0.3">
      <c r="A17" s="153" t="str">
        <f t="shared" si="8"/>
        <v>OK</v>
      </c>
      <c r="B17" s="152" t="s">
        <v>720</v>
      </c>
      <c r="C17" s="19" t="s">
        <v>721</v>
      </c>
      <c r="D17" s="21">
        <v>1</v>
      </c>
      <c r="E17" s="144">
        <f>IFERROR(((SUMIFS('2_LN_DadosExportados'!AM:AM,'2_LN_DadosExportados'!$V:$V,$C17,'2_LN_DadosExportados'!$A:$A,"X")+R17)/$X17)*$D17,"")</f>
        <v>0</v>
      </c>
      <c r="F17" s="144">
        <f>IFERROR(((SUMIFS('2_LN_DadosExportados'!AN:AN,'2_LN_DadosExportados'!$V:$V,$C17,'2_LN_DadosExportados'!$A:$A,"X")+S17)/$X17)*$D17,"")</f>
        <v>0</v>
      </c>
      <c r="G17" s="144">
        <f>IFERROR(((SUMIFS('2_LN_DadosExportados'!AO:AO,'2_LN_DadosExportados'!$V:$V,$C17,'2_LN_DadosExportados'!$A:$A,"X")+T17)/$X17)*$D17,"")</f>
        <v>0</v>
      </c>
      <c r="H17" s="144">
        <f>IFERROR(((SUMIFS('2_LN_DadosExportados'!AP:AP,'2_LN_DadosExportados'!$V:$V,$C17,'2_LN_DadosExportados'!$A:$A,"X")+U17)/$X17)*$D17,"")</f>
        <v>0</v>
      </c>
      <c r="I17" s="144">
        <f>IFERROR(((SUMIFS('2_LN_DadosExportados'!AQ:AQ,'2_LN_DadosExportados'!$V:$V,$C17,'2_LN_DadosExportados'!$A:$A,"X")+V17)/$X17)*$D17,"")</f>
        <v>0</v>
      </c>
      <c r="J17" s="144">
        <f>IFERROR(((SUMIFS('2_LN_DadosExportados'!AR:AR,'2_LN_DadosExportados'!$V:$V,$C17,'2_LN_DadosExportados'!$A:$A,"X")+W17)/$X17)*$D17,"")</f>
        <v>0</v>
      </c>
      <c r="K17" s="142">
        <f t="shared" si="0"/>
        <v>0</v>
      </c>
      <c r="L17" s="142">
        <f t="shared" si="1"/>
        <v>0</v>
      </c>
      <c r="M17" s="142">
        <f t="shared" si="2"/>
        <v>0</v>
      </c>
      <c r="N17" s="142">
        <f t="shared" si="3"/>
        <v>0</v>
      </c>
      <c r="O17" s="142">
        <f t="shared" si="4"/>
        <v>0</v>
      </c>
      <c r="P17" s="142">
        <f t="shared" si="5"/>
        <v>0</v>
      </c>
      <c r="Q17" s="23">
        <v>90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8">
        <f t="shared" si="9"/>
        <v>5443.2</v>
      </c>
      <c r="Y17" s="29">
        <f t="shared" si="10"/>
        <v>6048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149">
        <v>0</v>
      </c>
      <c r="AF17" s="151" t="str">
        <f>IFERROR(VLOOKUP(C17,'2_LN_DadosExportados'!V:V,1,FALSE),"")</f>
        <v/>
      </c>
      <c r="AG17" t="str" cm="1">
        <f t="array" ref="AG17">IF(AND(ISERR(FIND("sim",INDEX('existencia de wc'!K$2:K$193,MATCH(IP_WC!C17,'existencia de wc'!B$2:B$192,0))))=FALSE,SUMPRODUCT(('2_LN_DadosExportados'!V$2:V$314=IP_WC!C17)*('2_LN_DadosExportados'!A$2:A$314="X"))&gt;0), "MOSTRAR","")</f>
        <v/>
      </c>
    </row>
    <row r="18" spans="1:33" ht="15.75" thickBot="1" x14ac:dyDescent="0.3">
      <c r="A18" s="153" t="str">
        <f t="shared" si="8"/>
        <v>INVEST</v>
      </c>
      <c r="B18" s="152" t="s">
        <v>722</v>
      </c>
      <c r="C18" s="19" t="s">
        <v>723</v>
      </c>
      <c r="D18" s="21">
        <v>0</v>
      </c>
      <c r="E18" s="144" t="str">
        <f>IFERROR(((SUMIFS('2_LN_DadosExportados'!AM:AM,'2_LN_DadosExportados'!$V:$V,$C18,'2_LN_DadosExportados'!$A:$A,"X")+R18)/$X18)*$D18,"")</f>
        <v/>
      </c>
      <c r="F18" s="144" t="str">
        <f>IFERROR(((SUMIFS('2_LN_DadosExportados'!AN:AN,'2_LN_DadosExportados'!$V:$V,$C18,'2_LN_DadosExportados'!$A:$A,"X")+S18)/$X18)*$D18,"")</f>
        <v/>
      </c>
      <c r="G18" s="144" t="str">
        <f>IFERROR(((SUMIFS('2_LN_DadosExportados'!AO:AO,'2_LN_DadosExportados'!$V:$V,$C18,'2_LN_DadosExportados'!$A:$A,"X")+T18)/$X18)*$D18,"")</f>
        <v/>
      </c>
      <c r="H18" s="144" t="str">
        <f>IFERROR(((SUMIFS('2_LN_DadosExportados'!AP:AP,'2_LN_DadosExportados'!$V:$V,$C18,'2_LN_DadosExportados'!$A:$A,"X")+U18)/$X18)*$D18,"")</f>
        <v/>
      </c>
      <c r="I18" s="144" t="str">
        <f>IFERROR(((SUMIFS('2_LN_DadosExportados'!AQ:AQ,'2_LN_DadosExportados'!$V:$V,$C18,'2_LN_DadosExportados'!$A:$A,"X")+V18)/$X18)*$D18,"")</f>
        <v/>
      </c>
      <c r="J18" s="144" t="str">
        <f>IFERROR(((SUMIFS('2_LN_DadosExportados'!AR:AR,'2_LN_DadosExportados'!$V:$V,$C18,'2_LN_DadosExportados'!$A:$A,"X")+W18)/$X18)*$D18,"")</f>
        <v/>
      </c>
      <c r="K18" s="142" t="str">
        <f t="shared" si="0"/>
        <v/>
      </c>
      <c r="L18" s="142" t="str">
        <f t="shared" si="1"/>
        <v/>
      </c>
      <c r="M18" s="142" t="str">
        <f t="shared" si="2"/>
        <v/>
      </c>
      <c r="N18" s="142" t="str">
        <f t="shared" si="3"/>
        <v/>
      </c>
      <c r="O18" s="142" t="str">
        <f t="shared" si="4"/>
        <v/>
      </c>
      <c r="P18" s="142" t="str">
        <f t="shared" si="5"/>
        <v/>
      </c>
      <c r="Q18" s="23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8">
        <f t="shared" si="9"/>
        <v>0</v>
      </c>
      <c r="Y18" s="29">
        <f t="shared" si="10"/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149">
        <v>0</v>
      </c>
      <c r="AF18" s="151" t="str">
        <f>IFERROR(VLOOKUP(C18,'2_LN_DadosExportados'!V:V,1,FALSE),"")</f>
        <v/>
      </c>
      <c r="AG18" t="str" cm="1">
        <f t="array" ref="AG18">IF(AND(ISERR(FIND("sim",INDEX('existencia de wc'!K$2:K$193,MATCH(IP_WC!C18,'existencia de wc'!B$2:B$192,0))))=FALSE,SUMPRODUCT(('2_LN_DadosExportados'!V$2:V$314=IP_WC!C18)*('2_LN_DadosExportados'!A$2:A$314="X"))&gt;0), "MOSTRAR","")</f>
        <v/>
      </c>
    </row>
    <row r="19" spans="1:33" ht="15.75" thickBot="1" x14ac:dyDescent="0.3">
      <c r="A19" s="153" t="str">
        <f t="shared" si="8"/>
        <v>OK</v>
      </c>
      <c r="B19" s="152" t="s">
        <v>724</v>
      </c>
      <c r="C19" s="19" t="s">
        <v>725</v>
      </c>
      <c r="D19" s="21">
        <v>1</v>
      </c>
      <c r="E19" s="144">
        <f>IFERROR(((SUMIFS('2_LN_DadosExportados'!AM:AM,'2_LN_DadosExportados'!$V:$V,$C19,'2_LN_DadosExportados'!$A:$A,"X")+R19)/$X19)*$D19,"")</f>
        <v>0</v>
      </c>
      <c r="F19" s="144">
        <f>IFERROR(((SUMIFS('2_LN_DadosExportados'!AN:AN,'2_LN_DadosExportados'!$V:$V,$C19,'2_LN_DadosExportados'!$A:$A,"X")+S19)/$X19)*$D19,"")</f>
        <v>0</v>
      </c>
      <c r="G19" s="144">
        <f>IFERROR(((SUMIFS('2_LN_DadosExportados'!AO:AO,'2_LN_DadosExportados'!$V:$V,$C19,'2_LN_DadosExportados'!$A:$A,"X")+T19)/$X19)*$D19,"")</f>
        <v>0</v>
      </c>
      <c r="H19" s="144">
        <f>IFERROR(((SUMIFS('2_LN_DadosExportados'!AP:AP,'2_LN_DadosExportados'!$V:$V,$C19,'2_LN_DadosExportados'!$A:$A,"X")+U19)/$X19)*$D19,"")</f>
        <v>0</v>
      </c>
      <c r="I19" s="144">
        <f>IFERROR(((SUMIFS('2_LN_DadosExportados'!AQ:AQ,'2_LN_DadosExportados'!$V:$V,$C19,'2_LN_DadosExportados'!$A:$A,"X")+V19)/$X19)*$D19,"")</f>
        <v>0</v>
      </c>
      <c r="J19" s="144">
        <f>IFERROR(((SUMIFS('2_LN_DadosExportados'!AR:AR,'2_LN_DadosExportados'!$V:$V,$C19,'2_LN_DadosExportados'!$A:$A,"X")+W19)/$X19)*$D19,"")</f>
        <v>0</v>
      </c>
      <c r="K19" s="142">
        <f t="shared" si="0"/>
        <v>0</v>
      </c>
      <c r="L19" s="142">
        <f t="shared" si="1"/>
        <v>0</v>
      </c>
      <c r="M19" s="142">
        <f t="shared" si="2"/>
        <v>0</v>
      </c>
      <c r="N19" s="142">
        <f t="shared" si="3"/>
        <v>0</v>
      </c>
      <c r="O19" s="142">
        <f t="shared" si="4"/>
        <v>0</v>
      </c>
      <c r="P19" s="142">
        <f t="shared" si="5"/>
        <v>0</v>
      </c>
      <c r="Q19" s="23">
        <v>90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8">
        <f t="shared" si="9"/>
        <v>5443.2</v>
      </c>
      <c r="Y19" s="29">
        <f t="shared" si="10"/>
        <v>6048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149">
        <v>0</v>
      </c>
      <c r="AF19" s="151" t="str">
        <f>IFERROR(VLOOKUP(C19,'2_LN_DadosExportados'!V:V,1,FALSE),"")</f>
        <v/>
      </c>
      <c r="AG19" t="str" cm="1">
        <f t="array" ref="AG19">IF(AND(ISERR(FIND("sim",INDEX('existencia de wc'!K$2:K$193,MATCH(IP_WC!C19,'existencia de wc'!B$2:B$192,0))))=FALSE,SUMPRODUCT(('2_LN_DadosExportados'!V$2:V$314=IP_WC!C19)*('2_LN_DadosExportados'!A$2:A$314="X"))&gt;0), "MOSTRAR","")</f>
        <v/>
      </c>
    </row>
    <row r="20" spans="1:33" ht="15.75" thickBot="1" x14ac:dyDescent="0.3">
      <c r="A20" s="153" t="str">
        <f t="shared" si="8"/>
        <v>OK</v>
      </c>
      <c r="B20" s="152" t="s">
        <v>726</v>
      </c>
      <c r="C20" s="19" t="s">
        <v>727</v>
      </c>
      <c r="D20" s="21">
        <v>1</v>
      </c>
      <c r="E20" s="144">
        <f>IFERROR(((SUMIFS('2_LN_DadosExportados'!AM:AM,'2_LN_DadosExportados'!$V:$V,$C20,'2_LN_DadosExportados'!$A:$A,"X")+R20)/$X20)*$D20,"")</f>
        <v>0</v>
      </c>
      <c r="F20" s="144">
        <f>IFERROR(((SUMIFS('2_LN_DadosExportados'!AN:AN,'2_LN_DadosExportados'!$V:$V,$C20,'2_LN_DadosExportados'!$A:$A,"X")+S20)/$X20)*$D20,"")</f>
        <v>0</v>
      </c>
      <c r="G20" s="144">
        <f>IFERROR(((SUMIFS('2_LN_DadosExportados'!AO:AO,'2_LN_DadosExportados'!$V:$V,$C20,'2_LN_DadosExportados'!$A:$A,"X")+T20)/$X20)*$D20,"")</f>
        <v>0</v>
      </c>
      <c r="H20" s="144">
        <f>IFERROR(((SUMIFS('2_LN_DadosExportados'!AP:AP,'2_LN_DadosExportados'!$V:$V,$C20,'2_LN_DadosExportados'!$A:$A,"X")+U20)/$X20)*$D20,"")</f>
        <v>0</v>
      </c>
      <c r="I20" s="144">
        <f>IFERROR(((SUMIFS('2_LN_DadosExportados'!AQ:AQ,'2_LN_DadosExportados'!$V:$V,$C20,'2_LN_DadosExportados'!$A:$A,"X")+V20)/$X20)*$D20,"")</f>
        <v>0</v>
      </c>
      <c r="J20" s="144">
        <f>IFERROR(((SUMIFS('2_LN_DadosExportados'!AR:AR,'2_LN_DadosExportados'!$V:$V,$C20,'2_LN_DadosExportados'!$A:$A,"X")+W20)/$X20)*$D20,"")</f>
        <v>0</v>
      </c>
      <c r="K20" s="142">
        <f t="shared" si="0"/>
        <v>0</v>
      </c>
      <c r="L20" s="142">
        <f t="shared" si="1"/>
        <v>0</v>
      </c>
      <c r="M20" s="142">
        <f t="shared" si="2"/>
        <v>0</v>
      </c>
      <c r="N20" s="142">
        <f t="shared" si="3"/>
        <v>0</v>
      </c>
      <c r="O20" s="142">
        <f t="shared" si="4"/>
        <v>0</v>
      </c>
      <c r="P20" s="142">
        <f t="shared" si="5"/>
        <v>0</v>
      </c>
      <c r="Q20" s="23">
        <v>90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8">
        <f t="shared" si="9"/>
        <v>5443.2</v>
      </c>
      <c r="Y20" s="29">
        <f t="shared" si="10"/>
        <v>6048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149">
        <v>0</v>
      </c>
      <c r="AF20" s="151" t="str">
        <f>IFERROR(VLOOKUP(C20,'2_LN_DadosExportados'!V:V,1,FALSE),"")</f>
        <v/>
      </c>
      <c r="AG20" t="str" cm="1">
        <f t="array" ref="AG20">IF(AND(ISERR(FIND("sim",INDEX('existencia de wc'!K$2:K$193,MATCH(IP_WC!C20,'existencia de wc'!B$2:B$192,0))))=FALSE,SUMPRODUCT(('2_LN_DadosExportados'!V$2:V$314=IP_WC!C20)*('2_LN_DadosExportados'!A$2:A$314="X"))&gt;0), "MOSTRAR","")</f>
        <v/>
      </c>
    </row>
    <row r="21" spans="1:33" ht="15.75" thickBot="1" x14ac:dyDescent="0.3">
      <c r="A21" s="153" t="str">
        <f t="shared" si="8"/>
        <v>OK</v>
      </c>
      <c r="B21" s="152" t="s">
        <v>728</v>
      </c>
      <c r="C21" s="19" t="s">
        <v>729</v>
      </c>
      <c r="D21" s="21">
        <v>1</v>
      </c>
      <c r="E21" s="144">
        <f>IFERROR(((SUMIFS('2_LN_DadosExportados'!AM:AM,'2_LN_DadosExportados'!$V:$V,$C21,'2_LN_DadosExportados'!$A:$A,"X")+R21)/$X21)*$D21,"")</f>
        <v>0.58364875864875865</v>
      </c>
      <c r="F21" s="144">
        <f>IFERROR(((SUMIFS('2_LN_DadosExportados'!AN:AN,'2_LN_DadosExportados'!$V:$V,$C21,'2_LN_DadosExportados'!$A:$A,"X")+S21)/$X21)*$D21,"")</f>
        <v>0.16964285714285712</v>
      </c>
      <c r="G21" s="144">
        <f>IFERROR(((SUMIFS('2_LN_DadosExportados'!AO:AO,'2_LN_DadosExportados'!$V:$V,$C21,'2_LN_DadosExportados'!$A:$A,"X")+T21)/$X21)*$D21,"")</f>
        <v>0.14626322751322751</v>
      </c>
      <c r="H21" s="144">
        <f>IFERROR(((SUMIFS('2_LN_DadosExportados'!AP:AP,'2_LN_DadosExportados'!$V:$V,$C21,'2_LN_DadosExportados'!$A:$A,"X")+U21)/$X21)*$D21,"")</f>
        <v>0.12353225478225477</v>
      </c>
      <c r="I21" s="144">
        <f>IFERROR(((SUMIFS('2_LN_DadosExportados'!AQ:AQ,'2_LN_DadosExportados'!$V:$V,$C21,'2_LN_DadosExportados'!$A:$A,"X")+V21)/$X21)*$D21,"")</f>
        <v>0.10143976393976392</v>
      </c>
      <c r="J21" s="144">
        <f>IFERROR(((SUMIFS('2_LN_DadosExportados'!AR:AR,'2_LN_DadosExportados'!$V:$V,$C21,'2_LN_DadosExportados'!$A:$A,"X")+W21)/$X21)*$D21,"")</f>
        <v>8.9906389906389897E-2</v>
      </c>
      <c r="K21" s="142">
        <f>IFERROR(R21/$X21*$D21,"")</f>
        <v>0.58364875864875865</v>
      </c>
      <c r="L21" s="142">
        <f t="shared" si="1"/>
        <v>0.16964285714285712</v>
      </c>
      <c r="M21" s="142">
        <f t="shared" si="2"/>
        <v>0.14626322751322751</v>
      </c>
      <c r="N21" s="142">
        <f t="shared" si="3"/>
        <v>0.12353225478225477</v>
      </c>
      <c r="O21" s="142">
        <f t="shared" si="4"/>
        <v>0.10143976393976392</v>
      </c>
      <c r="P21" s="142">
        <f t="shared" si="5"/>
        <v>8.9906389906389897E-2</v>
      </c>
      <c r="Q21" s="23">
        <v>65</v>
      </c>
      <c r="R21" s="27">
        <v>2294.44</v>
      </c>
      <c r="S21" s="27">
        <v>666.9</v>
      </c>
      <c r="T21" s="27">
        <v>574.99</v>
      </c>
      <c r="U21" s="27">
        <v>485.63</v>
      </c>
      <c r="V21" s="27">
        <v>398.78</v>
      </c>
      <c r="W21" s="27">
        <v>353.44</v>
      </c>
      <c r="X21" s="28">
        <f t="shared" si="9"/>
        <v>3931.2000000000003</v>
      </c>
      <c r="Y21" s="29">
        <f t="shared" si="10"/>
        <v>6048</v>
      </c>
      <c r="Z21" s="30">
        <v>3166037</v>
      </c>
      <c r="AA21" s="30">
        <v>1002215</v>
      </c>
      <c r="AB21" s="30">
        <v>894795</v>
      </c>
      <c r="AC21" s="30">
        <v>787376</v>
      </c>
      <c r="AD21" s="30">
        <v>679956</v>
      </c>
      <c r="AE21" s="149">
        <v>626246</v>
      </c>
      <c r="AF21" s="151" t="str">
        <f>IFERROR(VLOOKUP(C21,'2_LN_DadosExportados'!V:V,1,FALSE),"")</f>
        <v/>
      </c>
      <c r="AG21" t="str" cm="1">
        <f t="array" ref="AG21">IF(AND(ISERR(FIND("sim",INDEX('existencia de wc'!K$2:K$193,MATCH(IP_WC!C21,'existencia de wc'!B$2:B$192,0))))=FALSE,SUMPRODUCT(('2_LN_DadosExportados'!V$2:V$314=IP_WC!C21)*('2_LN_DadosExportados'!A$2:A$314="X"))&gt;0), "MOSTRAR","")</f>
        <v/>
      </c>
    </row>
    <row r="22" spans="1:33" ht="15.75" thickBot="1" x14ac:dyDescent="0.3">
      <c r="A22" s="153" t="str">
        <f t="shared" si="8"/>
        <v>OK</v>
      </c>
      <c r="B22" s="152" t="s">
        <v>730</v>
      </c>
      <c r="C22" s="19" t="s">
        <v>731</v>
      </c>
      <c r="D22" s="21">
        <v>2</v>
      </c>
      <c r="E22" s="144">
        <f>IFERROR(((SUMIFS('2_LN_DadosExportados'!AM:AM,'2_LN_DadosExportados'!$V:$V,$C22,'2_LN_DadosExportados'!$A:$A,"X")+R22)/$X22)*$D22,"")</f>
        <v>0.87519332519332516</v>
      </c>
      <c r="F22" s="144">
        <f>IFERROR(((SUMIFS('2_LN_DadosExportados'!AN:AN,'2_LN_DadosExportados'!$V:$V,$C22,'2_LN_DadosExportados'!$A:$A,"X")+S22)/$X22)*$D22,"")</f>
        <v>0.72790750915750912</v>
      </c>
      <c r="G22" s="144">
        <f>IFERROR(((SUMIFS('2_LN_DadosExportados'!AO:AO,'2_LN_DadosExportados'!$V:$V,$C22,'2_LN_DadosExportados'!$A:$A,"X")+T22)/$X22)*$D22,"")</f>
        <v>0.70356888481888469</v>
      </c>
      <c r="H22" s="144">
        <f>IFERROR(((SUMIFS('2_LN_DadosExportados'!AP:AP,'2_LN_DadosExportados'!$V:$V,$C22,'2_LN_DadosExportados'!$A:$A,"X")+U22)/$X22)*$D22,"")</f>
        <v>0.6796321733821733</v>
      </c>
      <c r="I22" s="144">
        <f>IFERROR(((SUMIFS('2_LN_DadosExportados'!AQ:AQ,'2_LN_DadosExportados'!$V:$V,$C22,'2_LN_DadosExportados'!$A:$A,"X")+V22)/$X22)*$D22,"")</f>
        <v>0.65611518111518108</v>
      </c>
      <c r="J22" s="144">
        <f>IFERROR(((SUMIFS('2_LN_DadosExportados'!AR:AR,'2_LN_DadosExportados'!$V:$V,$C22,'2_LN_DadosExportados'!$A:$A,"X")+W22)/$X22)*$D22,"")</f>
        <v>0.63932387057387052</v>
      </c>
      <c r="K22" s="142">
        <f t="shared" ref="K22:K78" si="11">IFERROR(R22/$X22*$D22,"")</f>
        <v>0.87519332519332516</v>
      </c>
      <c r="L22" s="142">
        <f t="shared" ref="L22:P36" si="12">IFERROR(S22/$X22*$D22,"")</f>
        <v>0.72790750915750912</v>
      </c>
      <c r="M22" s="142">
        <f t="shared" si="12"/>
        <v>0.70356888481888469</v>
      </c>
      <c r="N22" s="142">
        <f t="shared" si="12"/>
        <v>0.6796321733821733</v>
      </c>
      <c r="O22" s="142">
        <f t="shared" si="12"/>
        <v>0.65611518111518108</v>
      </c>
      <c r="P22" s="142">
        <f t="shared" si="12"/>
        <v>0.63932387057387052</v>
      </c>
      <c r="Q22" s="23">
        <v>65</v>
      </c>
      <c r="R22" s="27">
        <v>3440.56</v>
      </c>
      <c r="S22" s="27">
        <v>2861.55</v>
      </c>
      <c r="T22" s="27">
        <v>2765.87</v>
      </c>
      <c r="U22" s="27">
        <v>2671.77</v>
      </c>
      <c r="V22" s="27">
        <v>2579.3200000000002</v>
      </c>
      <c r="W22" s="27">
        <v>2513.31</v>
      </c>
      <c r="X22" s="28">
        <f t="shared" si="9"/>
        <v>7862.4000000000005</v>
      </c>
      <c r="Y22" s="29">
        <f t="shared" si="10"/>
        <v>12096</v>
      </c>
      <c r="Z22" s="30">
        <v>6726489</v>
      </c>
      <c r="AA22" s="30">
        <v>5732559</v>
      </c>
      <c r="AB22" s="30">
        <v>5591486</v>
      </c>
      <c r="AC22" s="30">
        <v>5450413</v>
      </c>
      <c r="AD22" s="30">
        <v>5309340</v>
      </c>
      <c r="AE22" s="149">
        <v>5238803</v>
      </c>
      <c r="AF22" s="151" t="str">
        <f>IFERROR(VLOOKUP(C22,'2_LN_DadosExportados'!V:V,1,FALSE),"")</f>
        <v/>
      </c>
      <c r="AG22" t="str" cm="1">
        <f t="array" ref="AG22">IF(AND(ISERR(FIND("sim",INDEX('existencia de wc'!K$2:K$193,MATCH(IP_WC!C22,'existencia de wc'!B$2:B$192,0))))=FALSE,SUMPRODUCT(('2_LN_DadosExportados'!V$2:V$314=IP_WC!C22)*('2_LN_DadosExportados'!A$2:A$314="X"))&gt;0), "MOSTRAR","")</f>
        <v/>
      </c>
    </row>
    <row r="23" spans="1:33" ht="15.75" thickBot="1" x14ac:dyDescent="0.3">
      <c r="A23" s="153" t="str">
        <f t="shared" si="8"/>
        <v>OK</v>
      </c>
      <c r="B23" s="152" t="s">
        <v>732</v>
      </c>
      <c r="C23" s="19" t="s">
        <v>733</v>
      </c>
      <c r="D23" s="21">
        <v>2</v>
      </c>
      <c r="E23" s="144">
        <f>IFERROR(((SUMIFS('2_LN_DadosExportados'!AM:AM,'2_LN_DadosExportados'!$V:$V,$C23,'2_LN_DadosExportados'!$A:$A,"X")+R23)/$X23)*$D23,"")</f>
        <v>1.0049475986975986</v>
      </c>
      <c r="F23" s="144">
        <f>IFERROR(((SUMIFS('2_LN_DadosExportados'!AN:AN,'2_LN_DadosExportados'!$V:$V,$C23,'2_LN_DadosExportados'!$A:$A,"X")+S23)/$X23)*$D23,"")</f>
        <v>0.77724613349613347</v>
      </c>
      <c r="G23" s="144">
        <f>IFERROR(((SUMIFS('2_LN_DadosExportados'!AO:AO,'2_LN_DadosExportados'!$V:$V,$C23,'2_LN_DadosExportados'!$A:$A,"X")+T23)/$X23)*$D23,"")</f>
        <v>0.9900513838013838</v>
      </c>
      <c r="H23" s="144">
        <f>IFERROR(((SUMIFS('2_LN_DadosExportados'!AP:AP,'2_LN_DadosExportados'!$V:$V,$C23,'2_LN_DadosExportados'!$A:$A,"X")+U23)/$X23)*$D23,"")</f>
        <v>1.1958918396418396</v>
      </c>
      <c r="I23" s="144">
        <f>IFERROR(((SUMIFS('2_LN_DadosExportados'!AQ:AQ,'2_LN_DadosExportados'!$V:$V,$C23,'2_LN_DadosExportados'!$A:$A,"X")+V23)/$X23)*$D23,"")</f>
        <v>1.3947929385429385</v>
      </c>
      <c r="J23" s="144">
        <f>IFERROR(((SUMIFS('2_LN_DadosExportados'!AR:AR,'2_LN_DadosExportados'!$V:$V,$C23,'2_LN_DadosExportados'!$A:$A,"X")+W23)/$X23)*$D23,"")</f>
        <v>1.6140771265771265</v>
      </c>
      <c r="K23" s="142">
        <f t="shared" si="11"/>
        <v>1.0049475986975986</v>
      </c>
      <c r="L23" s="142">
        <f t="shared" si="12"/>
        <v>0.77724613349613347</v>
      </c>
      <c r="M23" s="142">
        <f t="shared" si="12"/>
        <v>0.9900513838013838</v>
      </c>
      <c r="N23" s="142">
        <f t="shared" si="12"/>
        <v>1.1958918396418396</v>
      </c>
      <c r="O23" s="142">
        <f t="shared" si="12"/>
        <v>1.3947929385429385</v>
      </c>
      <c r="P23" s="142">
        <f t="shared" si="12"/>
        <v>1.6140771265771265</v>
      </c>
      <c r="Q23" s="23">
        <v>65</v>
      </c>
      <c r="R23" s="27">
        <v>3950.65</v>
      </c>
      <c r="S23" s="27">
        <v>3055.51</v>
      </c>
      <c r="T23" s="27">
        <v>3892.09</v>
      </c>
      <c r="U23" s="27">
        <v>4701.29</v>
      </c>
      <c r="V23" s="27">
        <v>5483.21</v>
      </c>
      <c r="W23" s="27">
        <v>6345.26</v>
      </c>
      <c r="X23" s="28">
        <f t="shared" si="9"/>
        <v>7862.4000000000005</v>
      </c>
      <c r="Y23" s="29">
        <f t="shared" si="10"/>
        <v>12096</v>
      </c>
      <c r="Z23" s="30">
        <v>8431160</v>
      </c>
      <c r="AA23" s="30">
        <v>6283382</v>
      </c>
      <c r="AB23" s="30">
        <v>8096737</v>
      </c>
      <c r="AC23" s="30">
        <v>9910094</v>
      </c>
      <c r="AD23" s="30">
        <v>11723449</v>
      </c>
      <c r="AE23" s="149">
        <v>13854442</v>
      </c>
      <c r="AF23" s="151" t="str">
        <f>IFERROR(VLOOKUP(C23,'2_LN_DadosExportados'!V:V,1,FALSE),"")</f>
        <v/>
      </c>
      <c r="AG23" t="str" cm="1">
        <f t="array" ref="AG23">IF(AND(ISERR(FIND("sim",INDEX('existencia de wc'!K$2:K$193,MATCH(IP_WC!C23,'existencia de wc'!B$2:B$192,0))))=FALSE,SUMPRODUCT(('2_LN_DadosExportados'!V$2:V$314=IP_WC!C23)*('2_LN_DadosExportados'!A$2:A$314="X"))&gt;0), "MOSTRAR","")</f>
        <v/>
      </c>
    </row>
    <row r="24" spans="1:33" ht="15.75" thickBot="1" x14ac:dyDescent="0.3">
      <c r="A24" s="153" t="str">
        <f t="shared" si="8"/>
        <v>OK</v>
      </c>
      <c r="B24" s="152" t="s">
        <v>734</v>
      </c>
      <c r="C24" s="19" t="s">
        <v>735</v>
      </c>
      <c r="D24" s="21">
        <v>1</v>
      </c>
      <c r="E24" s="144">
        <f>IFERROR(((SUMIFS('2_LN_DadosExportados'!AM:AM,'2_LN_DadosExportados'!$V:$V,$C24,'2_LN_DadosExportados'!$A:$A,"X")+R24)/$X24)*$D24,"")</f>
        <v>0.3621565934065934</v>
      </c>
      <c r="F24" s="144">
        <f>IFERROR(((SUMIFS('2_LN_DadosExportados'!AN:AN,'2_LN_DadosExportados'!$V:$V,$C24,'2_LN_DadosExportados'!$A:$A,"X")+S24)/$X24)*$D24,"")</f>
        <v>0.26816239316239315</v>
      </c>
      <c r="G24" s="144">
        <f>IFERROR(((SUMIFS('2_LN_DadosExportados'!AO:AO,'2_LN_DadosExportados'!$V:$V,$C24,'2_LN_DadosExportados'!$A:$A,"X")+T24)/$X24)*$D24,"")</f>
        <v>0.26407458282458285</v>
      </c>
      <c r="H24" s="144">
        <f>IFERROR(((SUMIFS('2_LN_DadosExportados'!AP:AP,'2_LN_DadosExportados'!$V:$V,$C24,'2_LN_DadosExportados'!$A:$A,"X")+U24)/$X24)*$D24,"")</f>
        <v>0.25999949124949123</v>
      </c>
      <c r="I24" s="144">
        <f>IFERROR(((SUMIFS('2_LN_DadosExportados'!AQ:AQ,'2_LN_DadosExportados'!$V:$V,$C24,'2_LN_DadosExportados'!$A:$A,"X")+V24)/$X24)*$D24,"")</f>
        <v>0.25590404965404961</v>
      </c>
      <c r="J24" s="144">
        <f>IFERROR(((SUMIFS('2_LN_DadosExportados'!AR:AR,'2_LN_DadosExportados'!$V:$V,$C24,'2_LN_DadosExportados'!$A:$A,"X")+W24)/$X24)*$D24,"")</f>
        <v>0.2518213268213268</v>
      </c>
      <c r="K24" s="142">
        <f t="shared" si="11"/>
        <v>0.3621565934065934</v>
      </c>
      <c r="L24" s="142">
        <f t="shared" si="12"/>
        <v>0.26816239316239315</v>
      </c>
      <c r="M24" s="142">
        <f t="shared" si="12"/>
        <v>0.26407458282458285</v>
      </c>
      <c r="N24" s="142">
        <f t="shared" si="12"/>
        <v>0.25999949124949123</v>
      </c>
      <c r="O24" s="142">
        <f t="shared" si="12"/>
        <v>0.25590404965404961</v>
      </c>
      <c r="P24" s="142">
        <f t="shared" si="12"/>
        <v>0.2518213268213268</v>
      </c>
      <c r="Q24" s="23">
        <v>65</v>
      </c>
      <c r="R24" s="27">
        <v>1423.71</v>
      </c>
      <c r="S24" s="27">
        <v>1054.2</v>
      </c>
      <c r="T24" s="27">
        <v>1038.1300000000001</v>
      </c>
      <c r="U24" s="27">
        <v>1022.11</v>
      </c>
      <c r="V24" s="27">
        <v>1006.01</v>
      </c>
      <c r="W24" s="27">
        <v>989.96</v>
      </c>
      <c r="X24" s="28">
        <f t="shared" si="9"/>
        <v>3931.2000000000003</v>
      </c>
      <c r="Y24" s="29">
        <f t="shared" si="10"/>
        <v>6048</v>
      </c>
      <c r="Z24" s="30">
        <v>918453</v>
      </c>
      <c r="AA24" s="30">
        <v>780794</v>
      </c>
      <c r="AB24" s="30">
        <v>780794</v>
      </c>
      <c r="AC24" s="30">
        <v>780794</v>
      </c>
      <c r="AD24" s="30">
        <v>780794</v>
      </c>
      <c r="AE24" s="149">
        <v>780794</v>
      </c>
      <c r="AF24" s="151" t="str">
        <f>IFERROR(VLOOKUP(C24,'2_LN_DadosExportados'!V:V,1,FALSE),"")</f>
        <v/>
      </c>
      <c r="AG24" t="str" cm="1">
        <f t="array" ref="AG24">IF(AND(ISERR(FIND("sim",INDEX('existencia de wc'!K$2:K$193,MATCH(IP_WC!C24,'existencia de wc'!B$2:B$192,0))))=FALSE,SUMPRODUCT(('2_LN_DadosExportados'!V$2:V$314=IP_WC!C24)*('2_LN_DadosExportados'!A$2:A$314="X"))&gt;0), "MOSTRAR","")</f>
        <v/>
      </c>
    </row>
    <row r="25" spans="1:33" ht="15.75" thickBot="1" x14ac:dyDescent="0.3">
      <c r="A25" s="153" t="str">
        <f t="shared" si="8"/>
        <v>OK</v>
      </c>
      <c r="B25" s="152" t="s">
        <v>736</v>
      </c>
      <c r="C25" s="19" t="s">
        <v>737</v>
      </c>
      <c r="D25" s="21">
        <v>1</v>
      </c>
      <c r="E25" s="144">
        <f>IFERROR(((SUMIFS('2_LN_DadosExportados'!AM:AM,'2_LN_DadosExportados'!$V:$V,$C25,'2_LN_DadosExportados'!$A:$A,"X")+R25)/$X25)*$D25,"")</f>
        <v>0.7310312372812372</v>
      </c>
      <c r="F25" s="144">
        <f>IFERROR(((SUMIFS('2_LN_DadosExportados'!AN:AN,'2_LN_DadosExportados'!$V:$V,$C25,'2_LN_DadosExportados'!$A:$A,"X")+S25)/$X25)*$D25,"")</f>
        <v>0.42493640618640616</v>
      </c>
      <c r="G25" s="144">
        <f>IFERROR(((SUMIFS('2_LN_DadosExportados'!AO:AO,'2_LN_DadosExportados'!$V:$V,$C25,'2_LN_DadosExportados'!$A:$A,"X")+T25)/$X25)*$D25,"")</f>
        <v>0.39007173382173382</v>
      </c>
      <c r="H25" s="144">
        <f>IFERROR(((SUMIFS('2_LN_DadosExportados'!AP:AP,'2_LN_DadosExportados'!$V:$V,$C25,'2_LN_DadosExportados'!$A:$A,"X")+U25)/$X25)*$D25,"")</f>
        <v>0.35608211233211229</v>
      </c>
      <c r="I25" s="144">
        <f>IFERROR(((SUMIFS('2_LN_DadosExportados'!AQ:AQ,'2_LN_DadosExportados'!$V:$V,$C25,'2_LN_DadosExportados'!$A:$A,"X")+V25)/$X25)*$D25,"")</f>
        <v>0.32297517297517297</v>
      </c>
      <c r="J25" s="144">
        <f>IFERROR(((SUMIFS('2_LN_DadosExportados'!AR:AR,'2_LN_DadosExportados'!$V:$V,$C25,'2_LN_DadosExportados'!$A:$A,"X")+W25)/$X25)*$D25,"")</f>
        <v>0.30428367928367928</v>
      </c>
      <c r="K25" s="142">
        <f t="shared" si="11"/>
        <v>0.7310312372812372</v>
      </c>
      <c r="L25" s="142">
        <f t="shared" si="12"/>
        <v>0.42493640618640616</v>
      </c>
      <c r="M25" s="142">
        <f t="shared" si="12"/>
        <v>0.39007173382173382</v>
      </c>
      <c r="N25" s="142">
        <f t="shared" si="12"/>
        <v>0.35608211233211229</v>
      </c>
      <c r="O25" s="142">
        <f t="shared" si="12"/>
        <v>0.32297517297517297</v>
      </c>
      <c r="P25" s="142">
        <f t="shared" si="12"/>
        <v>0.30428367928367928</v>
      </c>
      <c r="Q25" s="23">
        <v>65</v>
      </c>
      <c r="R25" s="27">
        <v>2873.83</v>
      </c>
      <c r="S25" s="27">
        <v>1670.51</v>
      </c>
      <c r="T25" s="27">
        <v>1533.45</v>
      </c>
      <c r="U25" s="27">
        <v>1399.83</v>
      </c>
      <c r="V25" s="27">
        <v>1269.68</v>
      </c>
      <c r="W25" s="27">
        <v>1196.2</v>
      </c>
      <c r="X25" s="28">
        <f t="shared" si="9"/>
        <v>3931.2000000000003</v>
      </c>
      <c r="Y25" s="29">
        <f t="shared" si="10"/>
        <v>6048</v>
      </c>
      <c r="Z25" s="30">
        <v>3837279</v>
      </c>
      <c r="AA25" s="30">
        <v>2003103</v>
      </c>
      <c r="AB25" s="30">
        <v>1831574</v>
      </c>
      <c r="AC25" s="30">
        <v>1660046</v>
      </c>
      <c r="AD25" s="30">
        <v>1488517</v>
      </c>
      <c r="AE25" s="149">
        <v>1402753</v>
      </c>
      <c r="AF25" s="151" t="str">
        <f>IFERROR(VLOOKUP(C25,'2_LN_DadosExportados'!V:V,1,FALSE),"")</f>
        <v/>
      </c>
      <c r="AG25" t="str" cm="1">
        <f t="array" ref="AG25">IF(AND(ISERR(FIND("sim",INDEX('existencia de wc'!K$2:K$193,MATCH(IP_WC!C25,'existencia de wc'!B$2:B$192,0))))=FALSE,SUMPRODUCT(('2_LN_DadosExportados'!V$2:V$314=IP_WC!C25)*('2_LN_DadosExportados'!A$2:A$314="X"))&gt;0), "MOSTRAR","")</f>
        <v/>
      </c>
    </row>
    <row r="26" spans="1:33" ht="15.75" thickBot="1" x14ac:dyDescent="0.3">
      <c r="A26" s="153" t="str">
        <f t="shared" si="8"/>
        <v>OK</v>
      </c>
      <c r="B26" s="152" t="s">
        <v>738</v>
      </c>
      <c r="C26" s="19" t="s">
        <v>739</v>
      </c>
      <c r="D26" s="21">
        <v>1</v>
      </c>
      <c r="E26" s="144">
        <f>IFERROR(((SUMIFS('2_LN_DadosExportados'!AM:AM,'2_LN_DadosExportados'!$V:$V,$C26,'2_LN_DadosExportados'!$A:$A,"X")+R26)/$X26)*$D26,"")</f>
        <v>0.32929639804639804</v>
      </c>
      <c r="F26" s="144">
        <f>IFERROR(((SUMIFS('2_LN_DadosExportados'!AN:AN,'2_LN_DadosExportados'!$V:$V,$C26,'2_LN_DadosExportados'!$A:$A,"X")+S26)/$X26)*$D26,"")</f>
        <v>0.45338319088319085</v>
      </c>
      <c r="G26" s="144">
        <f>IFERROR(((SUMIFS('2_LN_DadosExportados'!AO:AO,'2_LN_DadosExportados'!$V:$V,$C26,'2_LN_DadosExportados'!$A:$A,"X")+T26)/$X26)*$D26,"")</f>
        <v>0.46029711029711023</v>
      </c>
      <c r="H26" s="144">
        <f>IFERROR(((SUMIFS('2_LN_DadosExportados'!AP:AP,'2_LN_DadosExportados'!$V:$V,$C26,'2_LN_DadosExportados'!$A:$A,"X")+U26)/$X26)*$D26,"")</f>
        <v>0.46747303622303621</v>
      </c>
      <c r="I26" s="144">
        <f>IFERROR(((SUMIFS('2_LN_DadosExportados'!AQ:AQ,'2_LN_DadosExportados'!$V:$V,$C26,'2_LN_DadosExportados'!$A:$A,"X")+V26)/$X26)*$D26,"")</f>
        <v>0.47489824989824986</v>
      </c>
      <c r="J26" s="144">
        <f>IFERROR(((SUMIFS('2_LN_DadosExportados'!AR:AR,'2_LN_DadosExportados'!$V:$V,$C26,'2_LN_DadosExportados'!$A:$A,"X")+W26)/$X26)*$D26,"")</f>
        <v>0.48258038258038249</v>
      </c>
      <c r="K26" s="142">
        <f t="shared" si="11"/>
        <v>0.32929639804639804</v>
      </c>
      <c r="L26" s="142">
        <f t="shared" si="12"/>
        <v>0.45338319088319085</v>
      </c>
      <c r="M26" s="142">
        <f t="shared" si="12"/>
        <v>0.46029711029711023</v>
      </c>
      <c r="N26" s="142">
        <f t="shared" si="12"/>
        <v>0.46747303622303621</v>
      </c>
      <c r="O26" s="142">
        <f t="shared" si="12"/>
        <v>0.47489824989824986</v>
      </c>
      <c r="P26" s="142">
        <f t="shared" si="12"/>
        <v>0.48258038258038249</v>
      </c>
      <c r="Q26" s="23">
        <v>65</v>
      </c>
      <c r="R26" s="27">
        <v>1294.53</v>
      </c>
      <c r="S26" s="27">
        <v>1782.34</v>
      </c>
      <c r="T26" s="27">
        <v>1809.52</v>
      </c>
      <c r="U26" s="27">
        <v>1837.73</v>
      </c>
      <c r="V26" s="27">
        <v>1866.92</v>
      </c>
      <c r="W26" s="27">
        <v>1897.12</v>
      </c>
      <c r="X26" s="28">
        <f t="shared" si="9"/>
        <v>3931.2000000000003</v>
      </c>
      <c r="Y26" s="29">
        <f t="shared" si="10"/>
        <v>6048</v>
      </c>
      <c r="Z26" s="30">
        <v>1241110.52</v>
      </c>
      <c r="AA26" s="30">
        <v>1779591</v>
      </c>
      <c r="AB26" s="30">
        <v>1839591</v>
      </c>
      <c r="AC26" s="30">
        <v>1902591</v>
      </c>
      <c r="AD26" s="30">
        <v>1968741</v>
      </c>
      <c r="AE26" s="149">
        <v>2038199</v>
      </c>
      <c r="AF26" s="151" t="str">
        <f>IFERROR(VLOOKUP(C26,'2_LN_DadosExportados'!V:V,1,FALSE),"")</f>
        <v/>
      </c>
      <c r="AG26" t="str" cm="1">
        <f t="array" ref="AG26">IF(AND(ISERR(FIND("sim",INDEX('existencia de wc'!K$2:K$193,MATCH(IP_WC!C26,'existencia de wc'!B$2:B$192,0))))=FALSE,SUMPRODUCT(('2_LN_DadosExportados'!V$2:V$314=IP_WC!C26)*('2_LN_DadosExportados'!A$2:A$314="X"))&gt;0), "MOSTRAR","")</f>
        <v/>
      </c>
    </row>
    <row r="27" spans="1:33" ht="15.75" thickBot="1" x14ac:dyDescent="0.3">
      <c r="A27" s="153" t="str">
        <f t="shared" si="8"/>
        <v>OK</v>
      </c>
      <c r="B27" s="152" t="s">
        <v>740</v>
      </c>
      <c r="C27" s="19" t="s">
        <v>741</v>
      </c>
      <c r="D27" s="21">
        <v>1</v>
      </c>
      <c r="E27" s="144">
        <f>IFERROR(((SUMIFS('2_LN_DadosExportados'!AM:AM,'2_LN_DadosExportados'!$V:$V,$C27,'2_LN_DadosExportados'!$A:$A,"X")+R27)/$X27)*$D27,"")</f>
        <v>0.81587047212047203</v>
      </c>
      <c r="F27" s="144">
        <f>IFERROR(((SUMIFS('2_LN_DadosExportados'!AN:AN,'2_LN_DadosExportados'!$V:$V,$C27,'2_LN_DadosExportados'!$A:$A,"X")+S27)/$X27)*$D27,"")</f>
        <v>0.63886345136345135</v>
      </c>
      <c r="G27" s="144">
        <f>IFERROR(((SUMIFS('2_LN_DadosExportados'!AO:AO,'2_LN_DadosExportados'!$V:$V,$C27,'2_LN_DadosExportados'!$A:$A,"X")+T27)/$X27)*$D27,"")</f>
        <v>0.61642246642246645</v>
      </c>
      <c r="H27" s="144">
        <f>IFERROR(((SUMIFS('2_LN_DadosExportados'!AP:AP,'2_LN_DadosExportados'!$V:$V,$C27,'2_LN_DadosExportados'!$A:$A,"X")+U27)/$X27)*$D27,"")</f>
        <v>0.59437576312576312</v>
      </c>
      <c r="I27" s="144">
        <f>IFERROR(((SUMIFS('2_LN_DadosExportados'!AQ:AQ,'2_LN_DadosExportados'!$V:$V,$C27,'2_LN_DadosExportados'!$A:$A,"X")+V27)/$X27)*$D27,"")</f>
        <v>0.57273097273097273</v>
      </c>
      <c r="J27" s="144">
        <f>IFERROR(((SUMIFS('2_LN_DadosExportados'!AR:AR,'2_LN_DadosExportados'!$V:$V,$C27,'2_LN_DadosExportados'!$A:$A,"X")+W27)/$X27)*$D27,"")</f>
        <v>0.55753459503459502</v>
      </c>
      <c r="K27" s="142">
        <f t="shared" si="11"/>
        <v>0.81587047212047203</v>
      </c>
      <c r="L27" s="142">
        <f t="shared" si="12"/>
        <v>0.63886345136345135</v>
      </c>
      <c r="M27" s="142">
        <f t="shared" si="12"/>
        <v>0.61642246642246645</v>
      </c>
      <c r="N27" s="142">
        <f t="shared" si="12"/>
        <v>0.59437576312576312</v>
      </c>
      <c r="O27" s="142">
        <f t="shared" si="12"/>
        <v>0.57273097273097273</v>
      </c>
      <c r="P27" s="142">
        <f t="shared" si="12"/>
        <v>0.55753459503459502</v>
      </c>
      <c r="Q27" s="23">
        <v>65</v>
      </c>
      <c r="R27" s="27">
        <v>3207.35</v>
      </c>
      <c r="S27" s="27">
        <v>2511.5</v>
      </c>
      <c r="T27" s="27">
        <v>2423.2800000000002</v>
      </c>
      <c r="U27" s="27">
        <v>2336.61</v>
      </c>
      <c r="V27" s="27">
        <v>2251.52</v>
      </c>
      <c r="W27" s="27">
        <v>2191.7800000000002</v>
      </c>
      <c r="X27" s="28">
        <f t="shared" si="9"/>
        <v>3931.2000000000003</v>
      </c>
      <c r="Y27" s="29">
        <f t="shared" si="10"/>
        <v>6048</v>
      </c>
      <c r="Z27" s="30">
        <v>8181781</v>
      </c>
      <c r="AA27" s="30">
        <v>5655789</v>
      </c>
      <c r="AB27" s="30">
        <v>5575131</v>
      </c>
      <c r="AC27" s="30">
        <v>5494477</v>
      </c>
      <c r="AD27" s="30">
        <v>5413819</v>
      </c>
      <c r="AE27" s="149">
        <v>5373489</v>
      </c>
      <c r="AF27" s="151" t="str">
        <f>IFERROR(VLOOKUP(C27,'2_LN_DadosExportados'!V:V,1,FALSE),"")</f>
        <v/>
      </c>
      <c r="AG27" t="str" cm="1">
        <f t="array" ref="AG27">IF(AND(ISERR(FIND("sim",INDEX('existencia de wc'!K$2:K$193,MATCH(IP_WC!C27,'existencia de wc'!B$2:B$192,0))))=FALSE,SUMPRODUCT(('2_LN_DadosExportados'!V$2:V$314=IP_WC!C27)*('2_LN_DadosExportados'!A$2:A$314="X"))&gt;0), "MOSTRAR","")</f>
        <v/>
      </c>
    </row>
    <row r="28" spans="1:33" ht="15.75" thickBot="1" x14ac:dyDescent="0.3">
      <c r="A28" s="153" t="str">
        <f t="shared" si="8"/>
        <v>OK</v>
      </c>
      <c r="B28" s="152" t="s">
        <v>742</v>
      </c>
      <c r="C28" s="19" t="s">
        <v>88</v>
      </c>
      <c r="D28" s="21">
        <v>2</v>
      </c>
      <c r="E28" s="144">
        <f>IFERROR(((SUMIFS('2_LN_DadosExportados'!AM:AM,'2_LN_DadosExportados'!$V:$V,$C28,'2_LN_DadosExportados'!$A:$A,"X")+R28)/$X28)*$D28,"")</f>
        <v>1.2299755799755798</v>
      </c>
      <c r="F28" s="144">
        <f>IFERROR(((SUMIFS('2_LN_DadosExportados'!AN:AN,'2_LN_DadosExportados'!$V:$V,$C28,'2_LN_DadosExportados'!$A:$A,"X")+S28)/$X28)*$D28,"")</f>
        <v>1.1080458892958891</v>
      </c>
      <c r="G28" s="144">
        <f>IFERROR(((SUMIFS('2_LN_DadosExportados'!AO:AO,'2_LN_DadosExportados'!$V:$V,$C28,'2_LN_DadosExportados'!$A:$A,"X")+T28)/$X28)*$D28,"")</f>
        <v>1.1918065730565728</v>
      </c>
      <c r="H28" s="144">
        <f>IFERROR(((SUMIFS('2_LN_DadosExportados'!AP:AP,'2_LN_DadosExportados'!$V:$V,$C28,'2_LN_DadosExportados'!$A:$A,"X")+U28)/$X28)*$D28,"")</f>
        <v>1.2487255799755799</v>
      </c>
      <c r="I28" s="144">
        <f>IFERROR(((SUMIFS('2_LN_DadosExportados'!AQ:AQ,'2_LN_DadosExportados'!$V:$V,$C28,'2_LN_DadosExportados'!$A:$A,"X")+V28)/$X28)*$D28,"")</f>
        <v>1.3027090964590964</v>
      </c>
      <c r="J28" s="144">
        <f>IFERROR(((SUMIFS('2_LN_DadosExportados'!AR:AR,'2_LN_DadosExportados'!$V:$V,$C28,'2_LN_DadosExportados'!$A:$A,"X")+W28)/$X28)*$D28,"")</f>
        <v>1.3214336589336588</v>
      </c>
      <c r="K28" s="142">
        <f t="shared" si="11"/>
        <v>1.2299755799755798</v>
      </c>
      <c r="L28" s="142">
        <f t="shared" si="12"/>
        <v>1.1080458892958891</v>
      </c>
      <c r="M28" s="142">
        <f t="shared" si="12"/>
        <v>1.1918065730565728</v>
      </c>
      <c r="N28" s="142">
        <f t="shared" si="12"/>
        <v>1.2487255799755799</v>
      </c>
      <c r="O28" s="142">
        <f t="shared" si="12"/>
        <v>1.3027090964590964</v>
      </c>
      <c r="P28" s="142">
        <f t="shared" si="12"/>
        <v>1.3214336589336588</v>
      </c>
      <c r="Q28" s="23">
        <v>65</v>
      </c>
      <c r="R28" s="27">
        <v>4835.28</v>
      </c>
      <c r="S28" s="27">
        <v>4355.95</v>
      </c>
      <c r="T28" s="27">
        <v>4685.2299999999996</v>
      </c>
      <c r="U28" s="27">
        <v>4908.99</v>
      </c>
      <c r="V28" s="27">
        <v>5121.21</v>
      </c>
      <c r="W28" s="27">
        <v>5194.82</v>
      </c>
      <c r="X28" s="28">
        <f t="shared" si="9"/>
        <v>7862.4000000000005</v>
      </c>
      <c r="Y28" s="29">
        <f t="shared" si="10"/>
        <v>12096</v>
      </c>
      <c r="Z28" s="30">
        <v>3794678</v>
      </c>
      <c r="AA28" s="30">
        <v>3344041</v>
      </c>
      <c r="AB28" s="30">
        <v>3591114</v>
      </c>
      <c r="AC28" s="30">
        <v>3788571</v>
      </c>
      <c r="AD28" s="30">
        <v>3984658</v>
      </c>
      <c r="AE28" s="149">
        <v>4089528</v>
      </c>
      <c r="AF28" s="151" t="str">
        <f>IFERROR(VLOOKUP(C28,'2_LN_DadosExportados'!V:V,1,FALSE),"")</f>
        <v/>
      </c>
      <c r="AG28" t="str" cm="1">
        <f t="array" ref="AG28">IF(AND(ISERR(FIND("sim",INDEX('existencia de wc'!K$2:K$193,MATCH(IP_WC!C28,'existencia de wc'!B$2:B$192,0))))=FALSE,SUMPRODUCT(('2_LN_DadosExportados'!V$2:V$314=IP_WC!C28)*('2_LN_DadosExportados'!A$2:A$314="X"))&gt;0), "MOSTRAR","")</f>
        <v/>
      </c>
    </row>
    <row r="29" spans="1:33" ht="15.75" thickBot="1" x14ac:dyDescent="0.3">
      <c r="A29" s="153" t="str">
        <f t="shared" si="8"/>
        <v>OK</v>
      </c>
      <c r="B29" s="152" t="s">
        <v>743</v>
      </c>
      <c r="C29" s="19" t="s">
        <v>744</v>
      </c>
      <c r="D29" s="21">
        <v>1</v>
      </c>
      <c r="E29" s="144">
        <f>IFERROR(((SUMIFS('2_LN_DadosExportados'!AM:AM,'2_LN_DadosExportados'!$V:$V,$C29,'2_LN_DadosExportados'!$A:$A,"X")+R29)/$X29)*$D29,"")</f>
        <v>0.28298611111111116</v>
      </c>
      <c r="F29" s="144">
        <f>IFERROR(((SUMIFS('2_LN_DadosExportados'!AN:AN,'2_LN_DadosExportados'!$V:$V,$C29,'2_LN_DadosExportados'!$A:$A,"X")+S29)/$X29)*$D29,"")</f>
        <v>0.32264660493827163</v>
      </c>
      <c r="G29" s="144">
        <f>IFERROR(((SUMIFS('2_LN_DadosExportados'!AO:AO,'2_LN_DadosExportados'!$V:$V,$C29,'2_LN_DadosExportados'!$A:$A,"X")+T29)/$X29)*$D29,"")</f>
        <v>0.31773037918871255</v>
      </c>
      <c r="H29" s="144">
        <f>IFERROR(((SUMIFS('2_LN_DadosExportados'!AP:AP,'2_LN_DadosExportados'!$V:$V,$C29,'2_LN_DadosExportados'!$A:$A,"X")+U29)/$X29)*$D29,"")</f>
        <v>0.31281966490299828</v>
      </c>
      <c r="I29" s="144">
        <f>IFERROR(((SUMIFS('2_LN_DadosExportados'!AQ:AQ,'2_LN_DadosExportados'!$V:$V,$C29,'2_LN_DadosExportados'!$A:$A,"X")+V29)/$X29)*$D29,"")</f>
        <v>0.30790619488536153</v>
      </c>
      <c r="J29" s="144">
        <f>IFERROR(((SUMIFS('2_LN_DadosExportados'!AR:AR,'2_LN_DadosExportados'!$V:$V,$C29,'2_LN_DadosExportados'!$A:$A,"X")+W29)/$X29)*$D29,"")</f>
        <v>0.30299272486772488</v>
      </c>
      <c r="K29" s="142">
        <f t="shared" si="11"/>
        <v>0.28298611111111116</v>
      </c>
      <c r="L29" s="142">
        <f t="shared" si="12"/>
        <v>0.32264660493827163</v>
      </c>
      <c r="M29" s="142">
        <f t="shared" si="12"/>
        <v>0.31773037918871255</v>
      </c>
      <c r="N29" s="142">
        <f t="shared" si="12"/>
        <v>0.31281966490299828</v>
      </c>
      <c r="O29" s="142">
        <f t="shared" si="12"/>
        <v>0.30790619488536153</v>
      </c>
      <c r="P29" s="142">
        <f t="shared" si="12"/>
        <v>0.30299272486772488</v>
      </c>
      <c r="Q29" s="23">
        <v>60</v>
      </c>
      <c r="R29" s="27">
        <v>1026.9000000000001</v>
      </c>
      <c r="S29" s="27">
        <v>1170.82</v>
      </c>
      <c r="T29" s="27">
        <v>1152.98</v>
      </c>
      <c r="U29" s="27">
        <v>1135.1600000000001</v>
      </c>
      <c r="V29" s="27">
        <v>1117.33</v>
      </c>
      <c r="W29" s="27">
        <v>1099.5</v>
      </c>
      <c r="X29" s="28">
        <f t="shared" si="9"/>
        <v>3628.7999999999997</v>
      </c>
      <c r="Y29" s="29">
        <f t="shared" si="10"/>
        <v>6048</v>
      </c>
      <c r="Z29" s="30">
        <v>774700</v>
      </c>
      <c r="AA29" s="30">
        <v>778049</v>
      </c>
      <c r="AB29" s="30">
        <v>778049</v>
      </c>
      <c r="AC29" s="30">
        <v>778049</v>
      </c>
      <c r="AD29" s="30">
        <v>778049</v>
      </c>
      <c r="AE29" s="149">
        <v>778049</v>
      </c>
      <c r="AF29" s="151" t="str">
        <f>IFERROR(VLOOKUP(C29,'2_LN_DadosExportados'!V:V,1,FALSE),"")</f>
        <v/>
      </c>
      <c r="AG29" t="str" cm="1">
        <f t="array" ref="AG29">IF(AND(ISERR(FIND("sim",INDEX('existencia de wc'!K$2:K$193,MATCH(IP_WC!C29,'existencia de wc'!B$2:B$192,0))))=FALSE,SUMPRODUCT(('2_LN_DadosExportados'!V$2:V$314=IP_WC!C29)*('2_LN_DadosExportados'!A$2:A$314="X"))&gt;0), "MOSTRAR","")</f>
        <v/>
      </c>
    </row>
    <row r="30" spans="1:33" ht="15.75" thickBot="1" x14ac:dyDescent="0.3">
      <c r="A30" s="153" t="str">
        <f t="shared" si="8"/>
        <v>OK</v>
      </c>
      <c r="B30" s="152" t="s">
        <v>745</v>
      </c>
      <c r="C30" s="19" t="s">
        <v>90</v>
      </c>
      <c r="D30" s="21">
        <v>2</v>
      </c>
      <c r="E30" s="144">
        <f>IFERROR(((SUMIFS('2_LN_DadosExportados'!AM:AM,'2_LN_DadosExportados'!$V:$V,$C30,'2_LN_DadosExportados'!$A:$A,"X")+R30)/$X30)*$D30,"")</f>
        <v>1.1492642195767195</v>
      </c>
      <c r="F30" s="144">
        <f>IFERROR(((SUMIFS('2_LN_DadosExportados'!AN:AN,'2_LN_DadosExportados'!$V:$V,$C30,'2_LN_DadosExportados'!$A:$A,"X")+S30)/$X30)*$D30,"")</f>
        <v>1.3604359567901236</v>
      </c>
      <c r="G30" s="144">
        <f>IFERROR(((SUMIFS('2_LN_DadosExportados'!AO:AO,'2_LN_DadosExportados'!$V:$V,$C30,'2_LN_DadosExportados'!$A:$A,"X")+T30)/$X30)*$D30,"")</f>
        <v>1.3967647707231041</v>
      </c>
      <c r="H30" s="144">
        <f>IFERROR(((SUMIFS('2_LN_DadosExportados'!AP:AP,'2_LN_DadosExportados'!$V:$V,$C30,'2_LN_DadosExportados'!$A:$A,"X")+U30)/$X30)*$D30,"")</f>
        <v>1.4822833994708995</v>
      </c>
      <c r="I30" s="144">
        <f>IFERROR(((SUMIFS('2_LN_DadosExportados'!AQ:AQ,'2_LN_DadosExportados'!$V:$V,$C30,'2_LN_DadosExportados'!$A:$A,"X")+V30)/$X30)*$D30,"")</f>
        <v>1.562334656084656</v>
      </c>
      <c r="J30" s="144">
        <f>IFERROR(((SUMIFS('2_LN_DadosExportados'!AR:AR,'2_LN_DadosExportados'!$V:$V,$C30,'2_LN_DadosExportados'!$A:$A,"X")+W30)/$X30)*$D30,"")</f>
        <v>1.5695078262786597</v>
      </c>
      <c r="K30" s="142">
        <f t="shared" si="11"/>
        <v>1.1492642195767195</v>
      </c>
      <c r="L30" s="142">
        <f t="shared" si="12"/>
        <v>1.3604359567901236</v>
      </c>
      <c r="M30" s="142">
        <f t="shared" si="12"/>
        <v>1.3967647707231041</v>
      </c>
      <c r="N30" s="142">
        <f t="shared" si="12"/>
        <v>1.4822833994708995</v>
      </c>
      <c r="O30" s="142">
        <f t="shared" si="12"/>
        <v>1.562334656084656</v>
      </c>
      <c r="P30" s="142">
        <f t="shared" si="12"/>
        <v>1.5695078262786597</v>
      </c>
      <c r="Q30" s="23">
        <v>60</v>
      </c>
      <c r="R30" s="27">
        <v>4170.45</v>
      </c>
      <c r="S30" s="27">
        <v>4936.75</v>
      </c>
      <c r="T30" s="27">
        <v>5068.58</v>
      </c>
      <c r="U30" s="27">
        <v>5378.91</v>
      </c>
      <c r="V30" s="27">
        <v>5669.4</v>
      </c>
      <c r="W30" s="27">
        <v>5695.43</v>
      </c>
      <c r="X30" s="28">
        <f t="shared" si="9"/>
        <v>7257.5999999999995</v>
      </c>
      <c r="Y30" s="29">
        <f t="shared" si="10"/>
        <v>12096</v>
      </c>
      <c r="Z30" s="30">
        <v>1732534</v>
      </c>
      <c r="AA30" s="30">
        <v>2040556</v>
      </c>
      <c r="AB30" s="30">
        <v>2117380</v>
      </c>
      <c r="AC30" s="30">
        <v>2263911</v>
      </c>
      <c r="AD30" s="30">
        <v>2407511</v>
      </c>
      <c r="AE30" s="149">
        <v>2452848</v>
      </c>
      <c r="AF30" s="151" t="str">
        <f>IFERROR(VLOOKUP(C30,'2_LN_DadosExportados'!V:V,1,FALSE),"")</f>
        <v>WC - Com KPP 450 t Osterw 1/2</v>
      </c>
      <c r="AG30" t="str" cm="1">
        <f t="array" ref="AG30">IF(AND(ISERR(FIND("sim",INDEX('existencia de wc'!K$2:K$193,MATCH(IP_WC!C30,'existencia de wc'!B$2:B$192,0))))=FALSE,SUMPRODUCT(('2_LN_DadosExportados'!V$2:V$314=IP_WC!C30)*('2_LN_DadosExportados'!A$2:A$314="X"))&gt;0), "MOSTRAR","")</f>
        <v/>
      </c>
    </row>
    <row r="31" spans="1:33" ht="15.75" thickBot="1" x14ac:dyDescent="0.3">
      <c r="A31" s="153" t="str">
        <f t="shared" si="8"/>
        <v>OK</v>
      </c>
      <c r="B31" s="152" t="s">
        <v>746</v>
      </c>
      <c r="C31" s="19" t="s">
        <v>46</v>
      </c>
      <c r="D31" s="21">
        <v>2</v>
      </c>
      <c r="E31" s="144">
        <f>IFERROR(((SUMIFS('2_LN_DadosExportados'!AM:AM,'2_LN_DadosExportados'!$V:$V,$C31,'2_LN_DadosExportados'!$A:$A,"X")+R31)/$X31)*$D31,"")</f>
        <v>0.68561313414254588</v>
      </c>
      <c r="F31" s="144">
        <f>IFERROR(((SUMIFS('2_LN_DadosExportados'!AN:AN,'2_LN_DadosExportados'!$V:$V,$C31,'2_LN_DadosExportados'!$A:$A,"X")+S31)/$X31)*$D31,"")</f>
        <v>0.63756224712107057</v>
      </c>
      <c r="G31" s="144">
        <f>IFERROR(((SUMIFS('2_LN_DadosExportados'!AO:AO,'2_LN_DadosExportados'!$V:$V,$C31,'2_LN_DadosExportados'!$A:$A,"X")+T31)/$X31)*$D31,"")</f>
        <v>0.60395658263305319</v>
      </c>
      <c r="H31" s="144">
        <f>IFERROR(((SUMIFS('2_LN_DadosExportados'!AP:AP,'2_LN_DadosExportados'!$V:$V,$C31,'2_LN_DadosExportados'!$A:$A,"X")+U31)/$X31)*$D31,"")</f>
        <v>0.57740234982882044</v>
      </c>
      <c r="I31" s="144">
        <f>IFERROR(((SUMIFS('2_LN_DadosExportados'!AQ:AQ,'2_LN_DadosExportados'!$V:$V,$C31,'2_LN_DadosExportados'!$A:$A,"X")+V31)/$X31)*$D31,"")</f>
        <v>0.5515269996887644</v>
      </c>
      <c r="J31" s="144">
        <f>IFERROR(((SUMIFS('2_LN_DadosExportados'!AR:AR,'2_LN_DadosExportados'!$V:$V,$C31,'2_LN_DadosExportados'!$A:$A,"X")+W31)/$X31)*$D31,"")</f>
        <v>0.53476112667289133</v>
      </c>
      <c r="K31" s="142">
        <f t="shared" si="11"/>
        <v>0.68561313414254588</v>
      </c>
      <c r="L31" s="142">
        <f t="shared" si="12"/>
        <v>0.63756224712107057</v>
      </c>
      <c r="M31" s="142">
        <f t="shared" si="12"/>
        <v>0.60395658263305319</v>
      </c>
      <c r="N31" s="142">
        <f t="shared" si="12"/>
        <v>0.57740234982882044</v>
      </c>
      <c r="O31" s="142">
        <f t="shared" si="12"/>
        <v>0.5515269996887644</v>
      </c>
      <c r="P31" s="142">
        <f t="shared" si="12"/>
        <v>0.53476112667289133</v>
      </c>
      <c r="Q31" s="23">
        <v>85</v>
      </c>
      <c r="R31" s="27">
        <v>3524.6</v>
      </c>
      <c r="S31" s="27">
        <v>3277.58</v>
      </c>
      <c r="T31" s="27">
        <v>3104.82</v>
      </c>
      <c r="U31" s="27">
        <v>2968.31</v>
      </c>
      <c r="V31" s="27">
        <v>2835.29</v>
      </c>
      <c r="W31" s="27">
        <v>2749.1</v>
      </c>
      <c r="X31" s="28">
        <f t="shared" si="9"/>
        <v>10281.6</v>
      </c>
      <c r="Y31" s="29">
        <f t="shared" si="10"/>
        <v>12096</v>
      </c>
      <c r="Z31" s="30">
        <v>15593561</v>
      </c>
      <c r="AA31" s="30">
        <v>10258868</v>
      </c>
      <c r="AB31" s="30">
        <v>9263588</v>
      </c>
      <c r="AC31" s="30">
        <v>8313147</v>
      </c>
      <c r="AD31" s="30">
        <v>7364261</v>
      </c>
      <c r="AE31" s="149">
        <v>6893340</v>
      </c>
      <c r="AF31" s="151" t="str">
        <f>IFERROR(VLOOKUP(C31,'2_LN_DadosExportados'!V:V,1,FALSE),"")</f>
        <v>WC - Sin Abbott RapidCool 1/2</v>
      </c>
      <c r="AG31" t="str" cm="1">
        <f t="array" ref="AG31">IF(AND(ISERR(FIND("sim",INDEX('existencia de wc'!K$2:K$193,MATCH(IP_WC!C31,'existencia de wc'!B$2:B$192,0))))=FALSE,SUMPRODUCT(('2_LN_DadosExportados'!V$2:V$314=IP_WC!C31)*('2_LN_DadosExportados'!A$2:A$314="X"))&gt;0), "MOSTRAR","")</f>
        <v/>
      </c>
    </row>
    <row r="32" spans="1:33" ht="15.75" thickBot="1" x14ac:dyDescent="0.3">
      <c r="A32" s="153" t="str">
        <f t="shared" si="8"/>
        <v>INVEST</v>
      </c>
      <c r="B32" s="152" t="s">
        <v>747</v>
      </c>
      <c r="C32" s="19" t="s">
        <v>79</v>
      </c>
      <c r="D32" s="21">
        <v>1</v>
      </c>
      <c r="E32" s="144">
        <f>IFERROR(((SUMIFS('2_LN_DadosExportados'!AM:AM,'2_LN_DadosExportados'!$V:$V,$C32,'2_LN_DadosExportados'!$A:$A,"X")+R32)/$X32)*$D32,"")</f>
        <v>1.2298630563336443</v>
      </c>
      <c r="F32" s="144">
        <f>IFERROR(((SUMIFS('2_LN_DadosExportados'!AN:AN,'2_LN_DadosExportados'!$V:$V,$C32,'2_LN_DadosExportados'!$A:$A,"X")+S32)/$X32)*$D32,"")</f>
        <v>1.3412931839402427</v>
      </c>
      <c r="G32" s="144">
        <f>IFERROR(((SUMIFS('2_LN_DadosExportados'!AO:AO,'2_LN_DadosExportados'!$V:$V,$C32,'2_LN_DadosExportados'!$A:$A,"X")+T32)/$X32)*$D32,"")</f>
        <v>1.5060360255213194</v>
      </c>
      <c r="H32" s="144">
        <f>IFERROR(((SUMIFS('2_LN_DadosExportados'!AP:AP,'2_LN_DadosExportados'!$V:$V,$C32,'2_LN_DadosExportados'!$A:$A,"X")+U32)/$X32)*$D32,"")</f>
        <v>1.6730664488017428</v>
      </c>
      <c r="I32" s="144">
        <f>IFERROR(((SUMIFS('2_LN_DadosExportados'!AQ:AQ,'2_LN_DadosExportados'!$V:$V,$C32,'2_LN_DadosExportados'!$A:$A,"X")+V32)/$X32)*$D32,"")</f>
        <v>1.8319483348895114</v>
      </c>
      <c r="J32" s="144">
        <f>IFERROR(((SUMIFS('2_LN_DadosExportados'!AR:AR,'2_LN_DadosExportados'!$V:$V,$C32,'2_LN_DadosExportados'!$A:$A,"X")+W32)/$X32)*$D32,"")</f>
        <v>1.9114651416122002</v>
      </c>
      <c r="K32" s="142">
        <f t="shared" si="11"/>
        <v>1.2298630563336443</v>
      </c>
      <c r="L32" s="142">
        <f t="shared" si="12"/>
        <v>1.3412931839402427</v>
      </c>
      <c r="M32" s="142">
        <f t="shared" si="12"/>
        <v>1.5060360255213194</v>
      </c>
      <c r="N32" s="142">
        <f t="shared" si="12"/>
        <v>1.6730664488017428</v>
      </c>
      <c r="O32" s="142">
        <f t="shared" si="12"/>
        <v>1.8319483348895114</v>
      </c>
      <c r="P32" s="142">
        <f t="shared" si="12"/>
        <v>1.9114651416122002</v>
      </c>
      <c r="Q32" s="23">
        <v>85</v>
      </c>
      <c r="R32" s="27">
        <v>6322.48</v>
      </c>
      <c r="S32" s="27">
        <v>6895.32</v>
      </c>
      <c r="T32" s="27">
        <v>7742.23</v>
      </c>
      <c r="U32" s="27">
        <v>8600.9</v>
      </c>
      <c r="V32" s="27">
        <v>9417.68</v>
      </c>
      <c r="W32" s="27">
        <v>9826.4599999999991</v>
      </c>
      <c r="X32" s="28">
        <f t="shared" si="9"/>
        <v>5140.8</v>
      </c>
      <c r="Y32" s="29">
        <f t="shared" si="10"/>
        <v>6048</v>
      </c>
      <c r="Z32" s="30">
        <v>23218029.52</v>
      </c>
      <c r="AA32" s="30">
        <v>19144474</v>
      </c>
      <c r="AB32" s="30">
        <v>21836326</v>
      </c>
      <c r="AC32" s="30">
        <v>24506438</v>
      </c>
      <c r="AD32" s="30">
        <v>27173836</v>
      </c>
      <c r="AE32" s="149">
        <v>29745074</v>
      </c>
      <c r="AF32" s="151" t="str">
        <f>IFERROR(VLOOKUP(C32,'2_LN_DadosExportados'!V:V,1,FALSE),"")</f>
        <v>WC - Sin Abbott Convencional 3</v>
      </c>
      <c r="AG32" t="str" cm="1">
        <f t="array" ref="AG32">IF(AND(ISERR(FIND("sim",INDEX('existencia de wc'!K$2:K$193,MATCH(IP_WC!C32,'existencia de wc'!B$2:B$192,0))))=FALSE,SUMPRODUCT(('2_LN_DadosExportados'!V$2:V$314=IP_WC!C32)*('2_LN_DadosExportados'!A$2:A$314="X"))&gt;0), "MOSTRAR","")</f>
        <v/>
      </c>
    </row>
    <row r="33" spans="1:33" ht="15.75" thickBot="1" x14ac:dyDescent="0.3">
      <c r="A33" s="153" t="str">
        <f t="shared" si="8"/>
        <v>OK</v>
      </c>
      <c r="B33" s="152" t="s">
        <v>748</v>
      </c>
      <c r="C33" s="19" t="s">
        <v>749</v>
      </c>
      <c r="D33" s="21">
        <v>1</v>
      </c>
      <c r="E33" s="144">
        <f>IFERROR(((SUMIFS('2_LN_DadosExportados'!AM:AM,'2_LN_DadosExportados'!$V:$V,$C33,'2_LN_DadosExportados'!$A:$A,"X")+R33)/$X33)*$D33,"")</f>
        <v>0.25866181657848325</v>
      </c>
      <c r="F33" s="144">
        <f>IFERROR(((SUMIFS('2_LN_DadosExportados'!AN:AN,'2_LN_DadosExportados'!$V:$V,$C33,'2_LN_DadosExportados'!$A:$A,"X")+S33)/$X33)*$D33,"")</f>
        <v>0.12015873015873015</v>
      </c>
      <c r="G33" s="144">
        <f>IFERROR(((SUMIFS('2_LN_DadosExportados'!AO:AO,'2_LN_DadosExportados'!$V:$V,$C33,'2_LN_DadosExportados'!$A:$A,"X")+T33)/$X33)*$D33,"")</f>
        <v>0.11264770723104058</v>
      </c>
      <c r="H33" s="144">
        <f>IFERROR(((SUMIFS('2_LN_DadosExportados'!AP:AP,'2_LN_DadosExportados'!$V:$V,$C33,'2_LN_DadosExportados'!$A:$A,"X")+U33)/$X33)*$D33,"")</f>
        <v>0.10531305114638448</v>
      </c>
      <c r="I33" s="144">
        <f>IFERROR(((SUMIFS('2_LN_DadosExportados'!AQ:AQ,'2_LN_DadosExportados'!$V:$V,$C33,'2_LN_DadosExportados'!$A:$A,"X")+V33)/$X33)*$D33,"")</f>
        <v>9.8152557319223996E-2</v>
      </c>
      <c r="J33" s="144">
        <f>IFERROR(((SUMIFS('2_LN_DadosExportados'!AR:AR,'2_LN_DadosExportados'!$V:$V,$C33,'2_LN_DadosExportados'!$A:$A,"X")+W33)/$X33)*$D33,"")</f>
        <v>9.3877865961199292E-2</v>
      </c>
      <c r="K33" s="142">
        <f t="shared" si="11"/>
        <v>0.25866181657848325</v>
      </c>
      <c r="L33" s="142">
        <f t="shared" si="12"/>
        <v>0.12015873015873015</v>
      </c>
      <c r="M33" s="142">
        <f t="shared" si="12"/>
        <v>0.11264770723104058</v>
      </c>
      <c r="N33" s="142">
        <f t="shared" si="12"/>
        <v>0.10531305114638448</v>
      </c>
      <c r="O33" s="142">
        <f t="shared" si="12"/>
        <v>9.8152557319223996E-2</v>
      </c>
      <c r="P33" s="142">
        <f t="shared" si="12"/>
        <v>9.3877865961199292E-2</v>
      </c>
      <c r="Q33" s="23">
        <v>75</v>
      </c>
      <c r="R33" s="27">
        <v>1173.29</v>
      </c>
      <c r="S33" s="27">
        <v>545.04</v>
      </c>
      <c r="T33" s="27">
        <v>510.97</v>
      </c>
      <c r="U33" s="27">
        <v>477.7</v>
      </c>
      <c r="V33" s="27">
        <v>445.22</v>
      </c>
      <c r="W33" s="27">
        <v>425.83</v>
      </c>
      <c r="X33" s="28">
        <f t="shared" si="9"/>
        <v>4536</v>
      </c>
      <c r="Y33" s="29">
        <f t="shared" si="10"/>
        <v>6048</v>
      </c>
      <c r="Z33" s="30">
        <v>3126757</v>
      </c>
      <c r="AA33" s="30">
        <v>953463</v>
      </c>
      <c r="AB33" s="30">
        <v>858135</v>
      </c>
      <c r="AC33" s="30">
        <v>762807</v>
      </c>
      <c r="AD33" s="30">
        <v>667479</v>
      </c>
      <c r="AE33" s="149">
        <v>619815</v>
      </c>
      <c r="AF33" s="151" t="str">
        <f>IFERROR(VLOOKUP(C33,'2_LN_DadosExportados'!V:V,1,FALSE),"")</f>
        <v/>
      </c>
      <c r="AG33" t="str" cm="1">
        <f t="array" ref="AG33">IF(AND(ISERR(FIND("sim",INDEX('existencia de wc'!K$2:K$193,MATCH(IP_WC!C33,'existencia de wc'!B$2:B$192,0))))=FALSE,SUMPRODUCT(('2_LN_DadosExportados'!V$2:V$314=IP_WC!C33)*('2_LN_DadosExportados'!A$2:A$314="X"))&gt;0), "MOSTRAR","")</f>
        <v/>
      </c>
    </row>
    <row r="34" spans="1:33" ht="15.75" thickBot="1" x14ac:dyDescent="0.3">
      <c r="A34" s="153" t="str">
        <f t="shared" si="8"/>
        <v>OK</v>
      </c>
      <c r="B34" s="152" t="s">
        <v>750</v>
      </c>
      <c r="C34" s="19" t="s">
        <v>123</v>
      </c>
      <c r="D34" s="21">
        <v>1</v>
      </c>
      <c r="E34" s="144">
        <f>IFERROR(((SUMIFS('2_LN_DadosExportados'!AM:AM,'2_LN_DadosExportados'!$V:$V,$C34,'2_LN_DadosExportados'!$A:$A,"X")+R34)/$X34)*$D34,"")</f>
        <v>0.21115001556178026</v>
      </c>
      <c r="F34" s="144">
        <f>IFERROR(((SUMIFS('2_LN_DadosExportados'!AN:AN,'2_LN_DadosExportados'!$V:$V,$C34,'2_LN_DadosExportados'!$A:$A,"X")+S34)/$X34)*$D34,"")</f>
        <v>0.23831504824151883</v>
      </c>
      <c r="G34" s="144">
        <f>IFERROR(((SUMIFS('2_LN_DadosExportados'!AO:AO,'2_LN_DadosExportados'!$V:$V,$C34,'2_LN_DadosExportados'!$A:$A,"X")+T34)/$X34)*$D34,"")</f>
        <v>0.22902077497665729</v>
      </c>
      <c r="H34" s="144">
        <f>IFERROR(((SUMIFS('2_LN_DadosExportados'!AP:AP,'2_LN_DadosExportados'!$V:$V,$C34,'2_LN_DadosExportados'!$A:$A,"X")+U34)/$X34)*$D34,"")</f>
        <v>0.225484360410831</v>
      </c>
      <c r="I34" s="144">
        <f>IFERROR(((SUMIFS('2_LN_DadosExportados'!AQ:AQ,'2_LN_DadosExportados'!$V:$V,$C34,'2_LN_DadosExportados'!$A:$A,"X")+V34)/$X34)*$D34,"")</f>
        <v>0.22194211017740428</v>
      </c>
      <c r="J34" s="144">
        <f>IFERROR(((SUMIFS('2_LN_DadosExportados'!AR:AR,'2_LN_DadosExportados'!$V:$V,$C34,'2_LN_DadosExportados'!$A:$A,"X")+W34)/$X34)*$D34,"")</f>
        <v>0.2184037503890445</v>
      </c>
      <c r="K34" s="142">
        <f t="shared" si="11"/>
        <v>0.21115001556178026</v>
      </c>
      <c r="L34" s="142">
        <f t="shared" si="12"/>
        <v>0.23831504824151883</v>
      </c>
      <c r="M34" s="142">
        <f t="shared" si="12"/>
        <v>0.22902077497665729</v>
      </c>
      <c r="N34" s="142">
        <f t="shared" si="12"/>
        <v>0.225484360410831</v>
      </c>
      <c r="O34" s="142">
        <f t="shared" si="12"/>
        <v>0.22194211017740428</v>
      </c>
      <c r="P34" s="142">
        <f t="shared" si="12"/>
        <v>0.2184037503890445</v>
      </c>
      <c r="Q34" s="23">
        <v>85</v>
      </c>
      <c r="R34" s="27">
        <v>1085.48</v>
      </c>
      <c r="S34" s="27">
        <v>1225.1300000000001</v>
      </c>
      <c r="T34" s="27">
        <v>1177.3499999999999</v>
      </c>
      <c r="U34" s="27">
        <v>1159.17</v>
      </c>
      <c r="V34" s="27">
        <v>1140.96</v>
      </c>
      <c r="W34" s="27">
        <v>1122.77</v>
      </c>
      <c r="X34" s="28">
        <f t="shared" si="9"/>
        <v>5140.8</v>
      </c>
      <c r="Y34" s="29">
        <f t="shared" si="10"/>
        <v>6048</v>
      </c>
      <c r="Z34" s="30">
        <v>2252652</v>
      </c>
      <c r="AA34" s="30">
        <v>2417575</v>
      </c>
      <c r="AB34" s="30">
        <v>2393575</v>
      </c>
      <c r="AC34" s="30">
        <v>2393575</v>
      </c>
      <c r="AD34" s="30">
        <v>2393575</v>
      </c>
      <c r="AE34" s="149">
        <v>2393575</v>
      </c>
      <c r="AF34" s="151" t="str">
        <f>IFERROR(VLOOKUP(C34,'2_LN_DadosExportados'!V:V,1,FALSE),"")</f>
        <v/>
      </c>
      <c r="AG34" t="str" cm="1">
        <f t="array" ref="AG34">IF(AND(ISERR(FIND("sim",INDEX('existencia de wc'!K$2:K$193,MATCH(IP_WC!C34,'existencia de wc'!B$2:B$192,0))))=FALSE,SUMPRODUCT(('2_LN_DadosExportados'!V$2:V$314=IP_WC!C34)*('2_LN_DadosExportados'!A$2:A$314="X"))&gt;0), "MOSTRAR","")</f>
        <v/>
      </c>
    </row>
    <row r="35" spans="1:33" ht="15.75" thickBot="1" x14ac:dyDescent="0.3">
      <c r="A35" s="153" t="str">
        <f t="shared" si="8"/>
        <v>OK</v>
      </c>
      <c r="B35" s="152" t="s">
        <v>751</v>
      </c>
      <c r="C35" s="19" t="s">
        <v>102</v>
      </c>
      <c r="D35" s="21">
        <v>2</v>
      </c>
      <c r="E35" s="144">
        <f>IFERROR(((SUMIFS('2_LN_DadosExportados'!AM:AM,'2_LN_DadosExportados'!$V:$V,$C35,'2_LN_DadosExportados'!$A:$A,"X")+R35)/$X35)*$D35,"")</f>
        <v>0.86927715530656702</v>
      </c>
      <c r="F35" s="144">
        <f>IFERROR(((SUMIFS('2_LN_DadosExportados'!AN:AN,'2_LN_DadosExportados'!$V:$V,$C35,'2_LN_DadosExportados'!$A:$A,"X")+S35)/$X35)*$D35,"")</f>
        <v>0.71378384687208218</v>
      </c>
      <c r="G35" s="144">
        <f>IFERROR(((SUMIFS('2_LN_DadosExportados'!AO:AO,'2_LN_DadosExportados'!$V:$V,$C35,'2_LN_DadosExportados'!$A:$A,"X")+T35)/$X35)*$D35,"")</f>
        <v>0.76429154995331472</v>
      </c>
      <c r="H35" s="144">
        <f>IFERROR(((SUMIFS('2_LN_DadosExportados'!AP:AP,'2_LN_DadosExportados'!$V:$V,$C35,'2_LN_DadosExportados'!$A:$A,"X")+U35)/$X35)*$D35,"")</f>
        <v>0.81289877061935878</v>
      </c>
      <c r="I35" s="144">
        <f>IFERROR(((SUMIFS('2_LN_DadosExportados'!AQ:AQ,'2_LN_DadosExportados'!$V:$V,$C35,'2_LN_DadosExportados'!$A:$A,"X")+V35)/$X35)*$D35,"")</f>
        <v>0.85960939931528157</v>
      </c>
      <c r="J35" s="144">
        <f>IFERROR(((SUMIFS('2_LN_DadosExportados'!AR:AR,'2_LN_DadosExportados'!$V:$V,$C35,'2_LN_DadosExportados'!$A:$A,"X")+W35)/$X35)*$D35,"")</f>
        <v>0.92656395891690002</v>
      </c>
      <c r="K35" s="142">
        <f t="shared" si="11"/>
        <v>0.86927715530656702</v>
      </c>
      <c r="L35" s="142">
        <f t="shared" si="12"/>
        <v>0.71378384687208218</v>
      </c>
      <c r="M35" s="142">
        <f t="shared" si="12"/>
        <v>0.76429154995331472</v>
      </c>
      <c r="N35" s="142">
        <f t="shared" si="12"/>
        <v>0.81289877061935878</v>
      </c>
      <c r="O35" s="142">
        <f t="shared" si="12"/>
        <v>0.85960939931528157</v>
      </c>
      <c r="P35" s="142">
        <f t="shared" si="12"/>
        <v>0.92656395891690002</v>
      </c>
      <c r="Q35" s="23">
        <v>85</v>
      </c>
      <c r="R35" s="27">
        <v>4468.78</v>
      </c>
      <c r="S35" s="27">
        <v>3669.42</v>
      </c>
      <c r="T35" s="27">
        <v>3929.07</v>
      </c>
      <c r="U35" s="27">
        <v>4178.95</v>
      </c>
      <c r="V35" s="27">
        <v>4419.08</v>
      </c>
      <c r="W35" s="27">
        <v>4763.28</v>
      </c>
      <c r="X35" s="28">
        <f t="shared" si="9"/>
        <v>10281.6</v>
      </c>
      <c r="Y35" s="29">
        <f t="shared" si="10"/>
        <v>12096</v>
      </c>
      <c r="Z35" s="30">
        <v>14926854</v>
      </c>
      <c r="AA35" s="30">
        <v>11244690</v>
      </c>
      <c r="AB35" s="30">
        <v>12652693</v>
      </c>
      <c r="AC35" s="30">
        <v>14060704</v>
      </c>
      <c r="AD35" s="30">
        <v>15468707</v>
      </c>
      <c r="AE35" s="149">
        <v>17397023</v>
      </c>
      <c r="AF35" s="151" t="str">
        <f>IFERROR(VLOOKUP(C35,'2_LN_DadosExportados'!V:V,1,FALSE),"")</f>
        <v/>
      </c>
      <c r="AG35" t="str" cm="1">
        <f t="array" ref="AG35">IF(AND(ISERR(FIND("sim",INDEX('existencia de wc'!K$2:K$193,MATCH(IP_WC!C35,'existencia de wc'!B$2:B$192,0))))=FALSE,SUMPRODUCT(('2_LN_DadosExportados'!V$2:V$314=IP_WC!C35)*('2_LN_DadosExportados'!A$2:A$314="X"))&gt;0), "MOSTRAR","")</f>
        <v/>
      </c>
    </row>
    <row r="36" spans="1:33" ht="15.75" thickBot="1" x14ac:dyDescent="0.3">
      <c r="A36" s="153" t="str">
        <f t="shared" si="8"/>
        <v>OK</v>
      </c>
      <c r="B36" s="152" t="s">
        <v>752</v>
      </c>
      <c r="C36" s="19" t="s">
        <v>753</v>
      </c>
      <c r="D36" s="21">
        <v>1</v>
      </c>
      <c r="E36" s="144">
        <f>IFERROR(((SUMIFS('2_LN_DadosExportados'!AM:AM,'2_LN_DadosExportados'!$V:$V,$C36,'2_LN_DadosExportados'!$A:$A,"X")+R36)/$X36)*$D36,"")</f>
        <v>9.3874494242141296E-2</v>
      </c>
      <c r="F36" s="144">
        <f>IFERROR(((SUMIFS('2_LN_DadosExportados'!AN:AN,'2_LN_DadosExportados'!$V:$V,$C36,'2_LN_DadosExportados'!$A:$A,"X")+S36)/$X36)*$D36,"")</f>
        <v>4.2267740429505131E-2</v>
      </c>
      <c r="G36" s="144">
        <f>IFERROR(((SUMIFS('2_LN_DadosExportados'!AO:AO,'2_LN_DadosExportados'!$V:$V,$C36,'2_LN_DadosExportados'!$A:$A,"X")+T36)/$X36)*$D36,"")</f>
        <v>3.9624183006535946E-2</v>
      </c>
      <c r="H36" s="144">
        <f>IFERROR(((SUMIFS('2_LN_DadosExportados'!AP:AP,'2_LN_DadosExportados'!$V:$V,$C36,'2_LN_DadosExportados'!$A:$A,"X")+U36)/$X36)*$D36,"")</f>
        <v>3.7044817927170869E-2</v>
      </c>
      <c r="I36" s="144">
        <f>IFERROR(((SUMIFS('2_LN_DadosExportados'!AQ:AQ,'2_LN_DadosExportados'!$V:$V,$C36,'2_LN_DadosExportados'!$A:$A,"X")+V36)/$X36)*$D36,"")</f>
        <v>3.4525754746342979E-2</v>
      </c>
      <c r="J36" s="144">
        <f>IFERROR(((SUMIFS('2_LN_DadosExportados'!AR:AR,'2_LN_DadosExportados'!$V:$V,$C36,'2_LN_DadosExportados'!$A:$A,"X")+W36)/$X36)*$D36,"")</f>
        <v>3.3022097727980079E-2</v>
      </c>
      <c r="K36" s="142">
        <f t="shared" si="11"/>
        <v>9.3874494242141296E-2</v>
      </c>
      <c r="L36" s="142">
        <f t="shared" si="12"/>
        <v>4.2267740429505131E-2</v>
      </c>
      <c r="M36" s="142">
        <f t="shared" si="12"/>
        <v>3.9624183006535946E-2</v>
      </c>
      <c r="N36" s="142">
        <f t="shared" si="12"/>
        <v>3.7044817927170869E-2</v>
      </c>
      <c r="O36" s="142">
        <f t="shared" si="12"/>
        <v>3.4525754746342979E-2</v>
      </c>
      <c r="P36" s="142">
        <f t="shared" si="12"/>
        <v>3.3022097727980079E-2</v>
      </c>
      <c r="Q36" s="23">
        <v>85</v>
      </c>
      <c r="R36" s="27">
        <v>482.59</v>
      </c>
      <c r="S36" s="27">
        <v>217.29</v>
      </c>
      <c r="T36" s="27">
        <v>203.7</v>
      </c>
      <c r="U36" s="27">
        <v>190.44</v>
      </c>
      <c r="V36" s="27">
        <v>177.49</v>
      </c>
      <c r="W36" s="27">
        <v>169.76</v>
      </c>
      <c r="X36" s="28">
        <f t="shared" si="9"/>
        <v>5140.8</v>
      </c>
      <c r="Y36" s="29">
        <f t="shared" si="10"/>
        <v>6048</v>
      </c>
      <c r="Z36" s="30">
        <v>3126757</v>
      </c>
      <c r="AA36" s="30">
        <v>953463</v>
      </c>
      <c r="AB36" s="30">
        <v>858135</v>
      </c>
      <c r="AC36" s="30">
        <v>762807</v>
      </c>
      <c r="AD36" s="30">
        <v>667479</v>
      </c>
      <c r="AE36" s="149">
        <v>619815</v>
      </c>
      <c r="AF36" s="151" t="str">
        <f>IFERROR(VLOOKUP(C36,'2_LN_DadosExportados'!V:V,1,FALSE),"")</f>
        <v/>
      </c>
      <c r="AG36" t="str" cm="1">
        <f t="array" ref="AG36">IF(AND(ISERR(FIND("sim",INDEX('existencia de wc'!K$2:K$193,MATCH(IP_WC!C36,'existencia de wc'!B$2:B$192,0))))=FALSE,SUMPRODUCT(('2_LN_DadosExportados'!V$2:V$314=IP_WC!C36)*('2_LN_DadosExportados'!A$2:A$314="X"))&gt;0), "MOSTRAR","")</f>
        <v/>
      </c>
    </row>
    <row r="37" spans="1:33" ht="15.75" thickBot="1" x14ac:dyDescent="0.3">
      <c r="A37" s="153" t="str">
        <f t="shared" si="8"/>
        <v>OK</v>
      </c>
      <c r="B37" s="152" t="s">
        <v>754</v>
      </c>
      <c r="C37" s="19" t="s">
        <v>755</v>
      </c>
      <c r="D37" s="21">
        <v>1</v>
      </c>
      <c r="E37" s="144">
        <f>IFERROR(((SUMIFS('2_LN_DadosExportados'!AM:AM,'2_LN_DadosExportados'!$V:$V,$C37,'2_LN_DadosExportados'!$A:$A,"X")+R37)/$X37)*$D37,"")</f>
        <v>0.56034798534798536</v>
      </c>
      <c r="F37" s="144">
        <f>IFERROR(((SUMIFS('2_LN_DadosExportados'!AN:AN,'2_LN_DadosExportados'!$V:$V,$C37,'2_LN_DadosExportados'!$A:$A,"X")+S37)/$X37)*$D37,"")</f>
        <v>0.13884564509564509</v>
      </c>
      <c r="G37" s="144">
        <f>IFERROR(((SUMIFS('2_LN_DadosExportados'!AO:AO,'2_LN_DadosExportados'!$V:$V,$C37,'2_LN_DadosExportados'!$A:$A,"X")+T37)/$X37)*$D37,"")</f>
        <v>0.11569749694749694</v>
      </c>
      <c r="H37" s="144">
        <f>IFERROR(((SUMIFS('2_LN_DadosExportados'!AP:AP,'2_LN_DadosExportados'!$V:$V,$C37,'2_LN_DadosExportados'!$A:$A,"X")+U37)/$X37)*$D37,"")</f>
        <v>9.3198005698005695E-2</v>
      </c>
      <c r="I37" s="144">
        <f>IFERROR(((SUMIFS('2_LN_DadosExportados'!AQ:AQ,'2_LN_DadosExportados'!$V:$V,$C37,'2_LN_DadosExportados'!$A:$A,"X")+V37)/$X37)*$D37,"")</f>
        <v>7.1347171347171348E-2</v>
      </c>
      <c r="J37" s="144">
        <f>IFERROR(((SUMIFS('2_LN_DadosExportados'!AR:AR,'2_LN_DadosExportados'!$V:$V,$C37,'2_LN_DadosExportados'!$A:$A,"X")+W37)/$X37)*$D37,"")</f>
        <v>6.0180097680097681E-2</v>
      </c>
      <c r="K37" s="142">
        <f t="shared" si="11"/>
        <v>0.56034798534798536</v>
      </c>
      <c r="L37" s="142">
        <f t="shared" ref="L37:L78" si="13">IFERROR(S37/$X37*$D37,"")</f>
        <v>0.13884564509564509</v>
      </c>
      <c r="M37" s="142">
        <f t="shared" ref="M37:M78" si="14">IFERROR(T37/$X37*$D37,"")</f>
        <v>0.11569749694749694</v>
      </c>
      <c r="N37" s="142">
        <f t="shared" ref="N37:N78" si="15">IFERROR(U37/$X37*$D37,"")</f>
        <v>9.3198005698005695E-2</v>
      </c>
      <c r="O37" s="142">
        <f t="shared" ref="O37:O78" si="16">IFERROR(V37/$X37*$D37,"")</f>
        <v>7.1347171347171348E-2</v>
      </c>
      <c r="P37" s="142">
        <f t="shared" ref="P37:P78" si="17">IFERROR(W37/$X37*$D37,"")</f>
        <v>6.0180097680097681E-2</v>
      </c>
      <c r="Q37" s="23">
        <v>65</v>
      </c>
      <c r="R37" s="27">
        <v>2202.84</v>
      </c>
      <c r="S37" s="27">
        <v>545.83000000000004</v>
      </c>
      <c r="T37" s="27">
        <v>454.83</v>
      </c>
      <c r="U37" s="27">
        <v>366.38</v>
      </c>
      <c r="V37" s="27">
        <v>280.48</v>
      </c>
      <c r="W37" s="27">
        <v>236.58</v>
      </c>
      <c r="X37" s="28">
        <f t="shared" si="9"/>
        <v>3931.2000000000003</v>
      </c>
      <c r="Y37" s="29">
        <f t="shared" si="10"/>
        <v>6048</v>
      </c>
      <c r="Z37" s="30">
        <v>2812488</v>
      </c>
      <c r="AA37" s="30">
        <v>698228</v>
      </c>
      <c r="AB37" s="30">
        <v>590808</v>
      </c>
      <c r="AC37" s="30">
        <v>483389</v>
      </c>
      <c r="AD37" s="30">
        <v>375969</v>
      </c>
      <c r="AE37" s="149">
        <v>322259</v>
      </c>
      <c r="AF37" s="151" t="str">
        <f>IFERROR(VLOOKUP(C37,'2_LN_DadosExportados'!V:V,1,FALSE),"")</f>
        <v/>
      </c>
      <c r="AG37" t="str" cm="1">
        <f t="array" ref="AG37">IF(AND(ISERR(FIND("sim",INDEX('existencia de wc'!K$2:K$193,MATCH(IP_WC!C37,'existencia de wc'!B$2:B$192,0))))=FALSE,SUMPRODUCT(('2_LN_DadosExportados'!V$2:V$314=IP_WC!C37)*('2_LN_DadosExportados'!A$2:A$314="X"))&gt;0), "MOSTRAR","")</f>
        <v/>
      </c>
    </row>
    <row r="38" spans="1:33" ht="15.75" thickBot="1" x14ac:dyDescent="0.3">
      <c r="A38" s="153" t="str">
        <f t="shared" si="8"/>
        <v>OK</v>
      </c>
      <c r="B38" s="152" t="s">
        <v>756</v>
      </c>
      <c r="C38" s="19" t="s">
        <v>757</v>
      </c>
      <c r="D38" s="21">
        <v>1</v>
      </c>
      <c r="E38" s="144">
        <f>IFERROR(((SUMIFS('2_LN_DadosExportados'!AM:AM,'2_LN_DadosExportados'!$V:$V,$C38,'2_LN_DadosExportados'!$A:$A,"X")+R38)/$X38)*$D38,"")</f>
        <v>0.30698768823768818</v>
      </c>
      <c r="F38" s="144">
        <f>IFERROR(((SUMIFS('2_LN_DadosExportados'!AN:AN,'2_LN_DadosExportados'!$V:$V,$C38,'2_LN_DadosExportados'!$A:$A,"X")+S38)/$X38)*$D38,"")</f>
        <v>0.27000661375661372</v>
      </c>
      <c r="G38" s="144">
        <f>IFERROR(((SUMIFS('2_LN_DadosExportados'!AO:AO,'2_LN_DadosExportados'!$V:$V,$C38,'2_LN_DadosExportados'!$A:$A,"X")+T38)/$X38)*$D38,"")</f>
        <v>0.26589336589336587</v>
      </c>
      <c r="H38" s="144">
        <f>IFERROR(((SUMIFS('2_LN_DadosExportados'!AP:AP,'2_LN_DadosExportados'!$V:$V,$C38,'2_LN_DadosExportados'!$A:$A,"X")+U38)/$X38)*$D38,"")</f>
        <v>0.26178266178266174</v>
      </c>
      <c r="I38" s="144">
        <f>IFERROR(((SUMIFS('2_LN_DadosExportados'!AQ:AQ,'2_LN_DadosExportados'!$V:$V,$C38,'2_LN_DadosExportados'!$A:$A,"X")+V38)/$X38)*$D38,"")</f>
        <v>0.25766687016687018</v>
      </c>
      <c r="J38" s="144">
        <f>IFERROR(((SUMIFS('2_LN_DadosExportados'!AR:AR,'2_LN_DadosExportados'!$V:$V,$C38,'2_LN_DadosExportados'!$A:$A,"X")+W38)/$X38)*$D38,"")</f>
        <v>0.25355870980870976</v>
      </c>
      <c r="K38" s="142">
        <f t="shared" si="11"/>
        <v>0.30698768823768818</v>
      </c>
      <c r="L38" s="142">
        <f t="shared" si="13"/>
        <v>0.27000661375661372</v>
      </c>
      <c r="M38" s="142">
        <f t="shared" si="14"/>
        <v>0.26589336589336587</v>
      </c>
      <c r="N38" s="142">
        <f t="shared" si="15"/>
        <v>0.26178266178266174</v>
      </c>
      <c r="O38" s="142">
        <f t="shared" si="16"/>
        <v>0.25766687016687018</v>
      </c>
      <c r="P38" s="142">
        <f t="shared" si="17"/>
        <v>0.25355870980870976</v>
      </c>
      <c r="Q38" s="23">
        <v>65</v>
      </c>
      <c r="R38" s="27">
        <v>1206.83</v>
      </c>
      <c r="S38" s="27">
        <v>1061.45</v>
      </c>
      <c r="T38" s="27">
        <v>1045.28</v>
      </c>
      <c r="U38" s="27">
        <v>1029.1199999999999</v>
      </c>
      <c r="V38" s="27">
        <v>1012.94</v>
      </c>
      <c r="W38" s="27">
        <v>996.79</v>
      </c>
      <c r="X38" s="28">
        <f t="shared" si="9"/>
        <v>3931.2000000000003</v>
      </c>
      <c r="Y38" s="29">
        <f t="shared" si="10"/>
        <v>6048</v>
      </c>
      <c r="Z38" s="30">
        <v>4000101</v>
      </c>
      <c r="AA38" s="30">
        <v>3636605</v>
      </c>
      <c r="AB38" s="30">
        <v>3636605</v>
      </c>
      <c r="AC38" s="30">
        <v>3636605</v>
      </c>
      <c r="AD38" s="30">
        <v>3636605</v>
      </c>
      <c r="AE38" s="149">
        <v>3636605</v>
      </c>
      <c r="AF38" s="151" t="str">
        <f>IFERROR(VLOOKUP(C38,'2_LN_DadosExportados'!V:V,1,FALSE),"")</f>
        <v/>
      </c>
      <c r="AG38" t="str" cm="1">
        <f t="array" ref="AG38">IF(AND(ISERR(FIND("sim",INDEX('existencia de wc'!K$2:K$193,MATCH(IP_WC!C38,'existencia de wc'!B$2:B$192,0))))=FALSE,SUMPRODUCT(('2_LN_DadosExportados'!V$2:V$314=IP_WC!C38)*('2_LN_DadosExportados'!A$2:A$314="X"))&gt;0), "MOSTRAR","")</f>
        <v/>
      </c>
    </row>
    <row r="39" spans="1:33" ht="15.75" thickBot="1" x14ac:dyDescent="0.3">
      <c r="A39" s="153" t="str">
        <f t="shared" si="8"/>
        <v>OK</v>
      </c>
      <c r="B39" s="152" t="s">
        <v>758</v>
      </c>
      <c r="C39" s="19" t="s">
        <v>759</v>
      </c>
      <c r="D39" s="21">
        <v>1</v>
      </c>
      <c r="E39" s="144">
        <f>IFERROR(((SUMIFS('2_LN_DadosExportados'!AM:AM,'2_LN_DadosExportados'!$V:$V,$C39,'2_LN_DadosExportados'!$A:$A,"X")+R39)/$X39)*$D39,"")</f>
        <v>0.18335113960113958</v>
      </c>
      <c r="F39" s="144">
        <f>IFERROR(((SUMIFS('2_LN_DadosExportados'!AN:AN,'2_LN_DadosExportados'!$V:$V,$C39,'2_LN_DadosExportados'!$A:$A,"X")+S39)/$X39)*$D39,"")</f>
        <v>0.22061202686202686</v>
      </c>
      <c r="G39" s="144">
        <f>IFERROR(((SUMIFS('2_LN_DadosExportados'!AO:AO,'2_LN_DadosExportados'!$V:$V,$C39,'2_LN_DadosExportados'!$A:$A,"X")+T39)/$X39)*$D39,"")</f>
        <v>0.21725172975172971</v>
      </c>
      <c r="H39" s="144">
        <f>IFERROR(((SUMIFS('2_LN_DadosExportados'!AP:AP,'2_LN_DadosExportados'!$V:$V,$C39,'2_LN_DadosExportados'!$A:$A,"X")+U39)/$X39)*$D39,"")</f>
        <v>0.21389143264143262</v>
      </c>
      <c r="I39" s="144">
        <f>IFERROR(((SUMIFS('2_LN_DadosExportados'!AQ:AQ,'2_LN_DadosExportados'!$V:$V,$C39,'2_LN_DadosExportados'!$A:$A,"X")+V39)/$X39)*$D39,"")</f>
        <v>0.2105311355311355</v>
      </c>
      <c r="J39" s="144">
        <f>IFERROR(((SUMIFS('2_LN_DadosExportados'!AR:AR,'2_LN_DadosExportados'!$V:$V,$C39,'2_LN_DadosExportados'!$A:$A,"X")+W39)/$X39)*$D39,"")</f>
        <v>0.20717083842083839</v>
      </c>
      <c r="K39" s="142">
        <f t="shared" si="11"/>
        <v>0.18335113960113958</v>
      </c>
      <c r="L39" s="142">
        <f t="shared" si="13"/>
        <v>0.22061202686202686</v>
      </c>
      <c r="M39" s="142">
        <f t="shared" si="14"/>
        <v>0.21725172975172971</v>
      </c>
      <c r="N39" s="142">
        <f t="shared" si="15"/>
        <v>0.21389143264143262</v>
      </c>
      <c r="O39" s="142">
        <f t="shared" si="16"/>
        <v>0.2105311355311355</v>
      </c>
      <c r="P39" s="142">
        <f t="shared" si="17"/>
        <v>0.20717083842083839</v>
      </c>
      <c r="Q39" s="23">
        <v>65</v>
      </c>
      <c r="R39" s="27">
        <v>720.79</v>
      </c>
      <c r="S39" s="27">
        <v>867.27</v>
      </c>
      <c r="T39" s="27">
        <v>854.06</v>
      </c>
      <c r="U39" s="27">
        <v>840.85</v>
      </c>
      <c r="V39" s="27">
        <v>827.64</v>
      </c>
      <c r="W39" s="27">
        <v>814.43</v>
      </c>
      <c r="X39" s="28">
        <f t="shared" si="9"/>
        <v>3931.2000000000003</v>
      </c>
      <c r="Y39" s="29">
        <f t="shared" si="10"/>
        <v>6048</v>
      </c>
      <c r="Z39" s="30">
        <v>849789</v>
      </c>
      <c r="AA39" s="30">
        <v>1053756</v>
      </c>
      <c r="AB39" s="30">
        <v>1053756</v>
      </c>
      <c r="AC39" s="30">
        <v>1053756</v>
      </c>
      <c r="AD39" s="30">
        <v>1053756</v>
      </c>
      <c r="AE39" s="149">
        <v>1053756</v>
      </c>
      <c r="AF39" s="151" t="str">
        <f>IFERROR(VLOOKUP(C39,'2_LN_DadosExportados'!V:V,1,FALSE),"")</f>
        <v/>
      </c>
      <c r="AG39" t="str" cm="1">
        <f t="array" ref="AG39">IF(AND(ISERR(FIND("sim",INDEX('existencia de wc'!K$2:K$193,MATCH(IP_WC!C39,'existencia de wc'!B$2:B$192,0))))=FALSE,SUMPRODUCT(('2_LN_DadosExportados'!V$2:V$314=IP_WC!C39)*('2_LN_DadosExportados'!A$2:A$314="X"))&gt;0), "MOSTRAR","")</f>
        <v/>
      </c>
    </row>
    <row r="40" spans="1:33" ht="15.75" thickBot="1" x14ac:dyDescent="0.3">
      <c r="A40" s="153" t="str">
        <f t="shared" si="8"/>
        <v>OK</v>
      </c>
      <c r="B40" s="152" t="s">
        <v>760</v>
      </c>
      <c r="C40" s="19" t="s">
        <v>761</v>
      </c>
      <c r="D40" s="21">
        <v>2</v>
      </c>
      <c r="E40" s="144">
        <f>IFERROR(((SUMIFS('2_LN_DadosExportados'!AM:AM,'2_LN_DadosExportados'!$V:$V,$C40,'2_LN_DadosExportados'!$A:$A,"X")+R40)/$X40)*$D40,"")</f>
        <v>0.63727106227106212</v>
      </c>
      <c r="F40" s="144">
        <f>IFERROR(((SUMIFS('2_LN_DadosExportados'!AN:AN,'2_LN_DadosExportados'!$V:$V,$C40,'2_LN_DadosExportados'!$A:$A,"X")+S40)/$X40)*$D40,"")</f>
        <v>0.54118080993080986</v>
      </c>
      <c r="G40" s="144">
        <f>IFERROR(((SUMIFS('2_LN_DadosExportados'!AO:AO,'2_LN_DadosExportados'!$V:$V,$C40,'2_LN_DadosExportados'!$A:$A,"X")+T40)/$X40)*$D40,"")</f>
        <v>0.50251831501831501</v>
      </c>
      <c r="H40" s="144">
        <f>IFERROR(((SUMIFS('2_LN_DadosExportados'!AP:AP,'2_LN_DadosExportados'!$V:$V,$C40,'2_LN_DadosExportados'!$A:$A,"X")+U40)/$X40)*$D40,"")</f>
        <v>0.46479446479446479</v>
      </c>
      <c r="I40" s="144">
        <f>IFERROR(((SUMIFS('2_LN_DadosExportados'!AQ:AQ,'2_LN_DadosExportados'!$V:$V,$C40,'2_LN_DadosExportados'!$A:$A,"X")+V40)/$X40)*$D40,"")</f>
        <v>0.42802452177452177</v>
      </c>
      <c r="J40" s="144">
        <f>IFERROR(((SUMIFS('2_LN_DadosExportados'!AR:AR,'2_LN_DadosExportados'!$V:$V,$C40,'2_LN_DadosExportados'!$A:$A,"X")+W40)/$X40)*$D40,"")</f>
        <v>0.4066875254375254</v>
      </c>
      <c r="K40" s="142">
        <f t="shared" si="11"/>
        <v>0.63727106227106212</v>
      </c>
      <c r="L40" s="142">
        <f t="shared" si="13"/>
        <v>0.54118080993080986</v>
      </c>
      <c r="M40" s="142">
        <f t="shared" si="14"/>
        <v>0.50251831501831501</v>
      </c>
      <c r="N40" s="142">
        <f t="shared" si="15"/>
        <v>0.46479446479446479</v>
      </c>
      <c r="O40" s="142">
        <f t="shared" si="16"/>
        <v>0.42802452177452177</v>
      </c>
      <c r="P40" s="142">
        <f t="shared" si="17"/>
        <v>0.4066875254375254</v>
      </c>
      <c r="Q40" s="23">
        <v>65</v>
      </c>
      <c r="R40" s="27">
        <v>2505.2399999999998</v>
      </c>
      <c r="S40" s="27">
        <v>2127.4899999999998</v>
      </c>
      <c r="T40" s="27">
        <v>1975.5</v>
      </c>
      <c r="U40" s="27">
        <v>1827.2</v>
      </c>
      <c r="V40" s="27">
        <v>1682.65</v>
      </c>
      <c r="W40" s="27">
        <v>1598.77</v>
      </c>
      <c r="X40" s="28">
        <f t="shared" si="9"/>
        <v>7862.4000000000005</v>
      </c>
      <c r="Y40" s="29">
        <f t="shared" si="10"/>
        <v>12096</v>
      </c>
      <c r="Z40" s="30">
        <v>3208523</v>
      </c>
      <c r="AA40" s="30">
        <v>2624405</v>
      </c>
      <c r="AB40" s="30">
        <v>2430289</v>
      </c>
      <c r="AC40" s="30">
        <v>2236175</v>
      </c>
      <c r="AD40" s="30">
        <v>2042059</v>
      </c>
      <c r="AE40" s="149">
        <v>1945001</v>
      </c>
      <c r="AF40" s="151" t="str">
        <f>IFERROR(VLOOKUP(C40,'2_LN_DadosExportados'!V:V,1,FALSE),"")</f>
        <v/>
      </c>
      <c r="AG40" t="str" cm="1">
        <f t="array" ref="AG40">IF(AND(ISERR(FIND("sim",INDEX('existencia de wc'!K$2:K$193,MATCH(IP_WC!C40,'existencia de wc'!B$2:B$192,0))))=FALSE,SUMPRODUCT(('2_LN_DadosExportados'!V$2:V$314=IP_WC!C40)*('2_LN_DadosExportados'!A$2:A$314="X"))&gt;0), "MOSTRAR","")</f>
        <v/>
      </c>
    </row>
    <row r="41" spans="1:33" ht="15.75" thickBot="1" x14ac:dyDescent="0.3">
      <c r="A41" s="153" t="str">
        <f t="shared" si="8"/>
        <v>OK</v>
      </c>
      <c r="B41" s="152" t="s">
        <v>762</v>
      </c>
      <c r="C41" s="19" t="s">
        <v>763</v>
      </c>
      <c r="D41" s="21">
        <v>2</v>
      </c>
      <c r="E41" s="144">
        <f>IFERROR(((SUMIFS('2_LN_DadosExportados'!AM:AM,'2_LN_DadosExportados'!$V:$V,$C41,'2_LN_DadosExportados'!$A:$A,"X")+R41)/$X41)*$D41,"")</f>
        <v>0.83950892857142856</v>
      </c>
      <c r="F41" s="144">
        <f>IFERROR(((SUMIFS('2_LN_DadosExportados'!AN:AN,'2_LN_DadosExportados'!$V:$V,$C41,'2_LN_DadosExportados'!$A:$A,"X")+S41)/$X41)*$D41,"")</f>
        <v>0.49467041446208115</v>
      </c>
      <c r="G41" s="144">
        <f>IFERROR(((SUMIFS('2_LN_DadosExportados'!AO:AO,'2_LN_DadosExportados'!$V:$V,$C41,'2_LN_DadosExportados'!$A:$A,"X")+T41)/$X41)*$D41,"")</f>
        <v>0.53133267195767198</v>
      </c>
      <c r="H41" s="144">
        <f>IFERROR(((SUMIFS('2_LN_DadosExportados'!AP:AP,'2_LN_DadosExportados'!$V:$V,$C41,'2_LN_DadosExportados'!$A:$A,"X")+U41)/$X41)*$D41,"")</f>
        <v>0.53200782627865961</v>
      </c>
      <c r="I41" s="144">
        <f>IFERROR(((SUMIFS('2_LN_DadosExportados'!AQ:AQ,'2_LN_DadosExportados'!$V:$V,$C41,'2_LN_DadosExportados'!$A:$A,"X")+V41)/$X41)*$D41,"")</f>
        <v>0.53297784391534397</v>
      </c>
      <c r="J41" s="144">
        <f>IFERROR(((SUMIFS('2_LN_DadosExportados'!AR:AR,'2_LN_DadosExportados'!$V:$V,$C41,'2_LN_DadosExportados'!$A:$A,"X")+W41)/$X41)*$D41,"")</f>
        <v>0.54088128306878314</v>
      </c>
      <c r="K41" s="142">
        <f t="shared" si="11"/>
        <v>0.83950892857142856</v>
      </c>
      <c r="L41" s="142">
        <f t="shared" si="13"/>
        <v>0.49467041446208115</v>
      </c>
      <c r="M41" s="142">
        <f t="shared" si="14"/>
        <v>0.53133267195767198</v>
      </c>
      <c r="N41" s="142">
        <f t="shared" si="15"/>
        <v>0.53200782627865961</v>
      </c>
      <c r="O41" s="142">
        <f t="shared" si="16"/>
        <v>0.53297784391534397</v>
      </c>
      <c r="P41" s="142">
        <f t="shared" si="17"/>
        <v>0.54088128306878314</v>
      </c>
      <c r="Q41" s="23">
        <v>60</v>
      </c>
      <c r="R41" s="27">
        <v>3046.41</v>
      </c>
      <c r="S41" s="27">
        <v>1795.06</v>
      </c>
      <c r="T41" s="27">
        <v>1928.1</v>
      </c>
      <c r="U41" s="27">
        <v>1930.55</v>
      </c>
      <c r="V41" s="27">
        <v>1934.07</v>
      </c>
      <c r="W41" s="27">
        <v>1962.75</v>
      </c>
      <c r="X41" s="28">
        <f t="shared" si="9"/>
        <v>7257.5999999999995</v>
      </c>
      <c r="Y41" s="29">
        <f t="shared" si="10"/>
        <v>12096</v>
      </c>
      <c r="Z41" s="30">
        <v>2949201</v>
      </c>
      <c r="AA41" s="30">
        <v>2009640</v>
      </c>
      <c r="AB41" s="30">
        <v>2097818</v>
      </c>
      <c r="AC41" s="30">
        <v>2090676</v>
      </c>
      <c r="AD41" s="30">
        <v>2085092</v>
      </c>
      <c r="AE41" s="149">
        <v>2115589</v>
      </c>
      <c r="AF41" s="151" t="str">
        <f>IFERROR(VLOOKUP(C41,'2_LN_DadosExportados'!V:V,1,FALSE),"")</f>
        <v/>
      </c>
      <c r="AG41" t="str" cm="1">
        <f t="array" ref="AG41">IF(AND(ISERR(FIND("sim",INDEX('existencia de wc'!K$2:K$193,MATCH(IP_WC!C41,'existencia de wc'!B$2:B$192,0))))=FALSE,SUMPRODUCT(('2_LN_DadosExportados'!V$2:V$314=IP_WC!C41)*('2_LN_DadosExportados'!A$2:A$314="X"))&gt;0), "MOSTRAR","")</f>
        <v/>
      </c>
    </row>
    <row r="42" spans="1:33" ht="15.75" thickBot="1" x14ac:dyDescent="0.3">
      <c r="A42" s="153" t="str">
        <f t="shared" si="8"/>
        <v>OK</v>
      </c>
      <c r="B42" s="152" t="s">
        <v>764</v>
      </c>
      <c r="C42" s="19" t="s">
        <v>98</v>
      </c>
      <c r="D42" s="21">
        <v>1</v>
      </c>
      <c r="E42" s="144">
        <f>IFERROR(((SUMIFS('2_LN_DadosExportados'!AM:AM,'2_LN_DadosExportados'!$V:$V,$C42,'2_LN_DadosExportados'!$A:$A,"X")+R42)/$X42)*$D42,"")</f>
        <v>0.58725198412698421</v>
      </c>
      <c r="F42" s="144">
        <f>IFERROR(((SUMIFS('2_LN_DadosExportados'!AN:AN,'2_LN_DadosExportados'!$V:$V,$C42,'2_LN_DadosExportados'!$A:$A,"X")+S42)/$X42)*$D42,"")</f>
        <v>0.69181547619047623</v>
      </c>
      <c r="G42" s="144">
        <f>IFERROR(((SUMIFS('2_LN_DadosExportados'!AO:AO,'2_LN_DadosExportados'!$V:$V,$C42,'2_LN_DadosExportados'!$A:$A,"X")+T42)/$X42)*$D42,"")</f>
        <v>0.72211750440917111</v>
      </c>
      <c r="H42" s="144">
        <f>IFERROR(((SUMIFS('2_LN_DadosExportados'!AP:AP,'2_LN_DadosExportados'!$V:$V,$C42,'2_LN_DadosExportados'!$A:$A,"X")+U42)/$X42)*$D42,"")</f>
        <v>0.76938381834215175</v>
      </c>
      <c r="I42" s="144">
        <f>IFERROR(((SUMIFS('2_LN_DadosExportados'!AQ:AQ,'2_LN_DadosExportados'!$V:$V,$C42,'2_LN_DadosExportados'!$A:$A,"X")+V42)/$X42)*$D42,"")</f>
        <v>0.81365465167548512</v>
      </c>
      <c r="J42" s="144">
        <f>IFERROR(((SUMIFS('2_LN_DadosExportados'!AR:AR,'2_LN_DadosExportados'!$V:$V,$C42,'2_LN_DadosExportados'!$A:$A,"X")+W42)/$X42)*$D42,"")</f>
        <v>0.81817956349206367</v>
      </c>
      <c r="K42" s="142">
        <f t="shared" si="11"/>
        <v>0.58725198412698421</v>
      </c>
      <c r="L42" s="142">
        <f t="shared" si="13"/>
        <v>0.69181547619047623</v>
      </c>
      <c r="M42" s="142">
        <f t="shared" si="14"/>
        <v>0.72211750440917111</v>
      </c>
      <c r="N42" s="142">
        <f t="shared" si="15"/>
        <v>0.76938381834215175</v>
      </c>
      <c r="O42" s="142">
        <f t="shared" si="16"/>
        <v>0.81365465167548512</v>
      </c>
      <c r="P42" s="142">
        <f t="shared" si="17"/>
        <v>0.81817956349206367</v>
      </c>
      <c r="Q42" s="23">
        <v>60</v>
      </c>
      <c r="R42" s="27">
        <v>2131.02</v>
      </c>
      <c r="S42" s="27">
        <v>2510.46</v>
      </c>
      <c r="T42" s="27">
        <v>2620.42</v>
      </c>
      <c r="U42" s="27">
        <v>2791.94</v>
      </c>
      <c r="V42" s="27">
        <v>2952.59</v>
      </c>
      <c r="W42" s="27">
        <v>2969.01</v>
      </c>
      <c r="X42" s="28">
        <f t="shared" si="9"/>
        <v>3628.7999999999997</v>
      </c>
      <c r="Y42" s="29">
        <f t="shared" si="10"/>
        <v>6048</v>
      </c>
      <c r="Z42" s="30">
        <v>1472888</v>
      </c>
      <c r="AA42" s="30">
        <v>1748939</v>
      </c>
      <c r="AB42" s="30">
        <v>1849763</v>
      </c>
      <c r="AC42" s="30">
        <v>1996294</v>
      </c>
      <c r="AD42" s="30">
        <v>2139894</v>
      </c>
      <c r="AE42" s="149">
        <v>2185231</v>
      </c>
      <c r="AF42" s="151" t="str">
        <f>IFERROR(VLOOKUP(C42,'2_LN_DadosExportados'!V:V,1,FALSE),"")</f>
        <v/>
      </c>
      <c r="AG42" t="str" cm="1">
        <f t="array" ref="AG42">IF(AND(ISERR(FIND("sim",INDEX('existencia de wc'!K$2:K$193,MATCH(IP_WC!C42,'existencia de wc'!B$2:B$192,0))))=FALSE,SUMPRODUCT(('2_LN_DadosExportados'!V$2:V$314=IP_WC!C42)*('2_LN_DadosExportados'!A$2:A$314="X"))&gt;0), "MOSTRAR","")</f>
        <v/>
      </c>
    </row>
    <row r="43" spans="1:33" ht="15.75" thickBot="1" x14ac:dyDescent="0.3">
      <c r="A43" s="153" t="str">
        <f t="shared" si="8"/>
        <v>OK</v>
      </c>
      <c r="B43" s="152" t="s">
        <v>765</v>
      </c>
      <c r="C43" s="19" t="s">
        <v>766</v>
      </c>
      <c r="D43" s="21">
        <v>1</v>
      </c>
      <c r="E43" s="144">
        <f>IFERROR(((SUMIFS('2_LN_DadosExportados'!AM:AM,'2_LN_DadosExportados'!$V:$V,$C43,'2_LN_DadosExportados'!$A:$A,"X")+R43)/$X43)*$D43,"")</f>
        <v>0.3920249118165785</v>
      </c>
      <c r="F43" s="144">
        <f>IFERROR(((SUMIFS('2_LN_DadosExportados'!AN:AN,'2_LN_DadosExportados'!$V:$V,$C43,'2_LN_DadosExportados'!$A:$A,"X")+S43)/$X43)*$D43,"")</f>
        <v>0.55892305996472669</v>
      </c>
      <c r="G43" s="144">
        <f>IFERROR(((SUMIFS('2_LN_DadosExportados'!AO:AO,'2_LN_DadosExportados'!$V:$V,$C43,'2_LN_DadosExportados'!$A:$A,"X")+T43)/$X43)*$D43,"")</f>
        <v>0.6065558862433863</v>
      </c>
      <c r="H43" s="144">
        <f>IFERROR(((SUMIFS('2_LN_DadosExportados'!AP:AP,'2_LN_DadosExportados'!$V:$V,$C43,'2_LN_DadosExportados'!$A:$A,"X")+U43)/$X43)*$D43,"")</f>
        <v>0.67751598324515006</v>
      </c>
      <c r="I43" s="144">
        <f>IFERROR(((SUMIFS('2_LN_DadosExportados'!AQ:AQ,'2_LN_DadosExportados'!$V:$V,$C43,'2_LN_DadosExportados'!$A:$A,"X")+V43)/$X43)*$D43,"")</f>
        <v>0.74437003968253979</v>
      </c>
      <c r="J43" s="144">
        <f>IFERROR(((SUMIFS('2_LN_DadosExportados'!AR:AR,'2_LN_DadosExportados'!$V:$V,$C43,'2_LN_DadosExportados'!$A:$A,"X")+W43)/$X43)*$D43,"")</f>
        <v>0.75656690917107583</v>
      </c>
      <c r="K43" s="142">
        <f t="shared" si="11"/>
        <v>0.3920249118165785</v>
      </c>
      <c r="L43" s="142">
        <f t="shared" si="13"/>
        <v>0.55892305996472669</v>
      </c>
      <c r="M43" s="142">
        <f t="shared" si="14"/>
        <v>0.6065558862433863</v>
      </c>
      <c r="N43" s="142">
        <f t="shared" si="15"/>
        <v>0.67751598324515006</v>
      </c>
      <c r="O43" s="142">
        <f t="shared" si="16"/>
        <v>0.74437003968253979</v>
      </c>
      <c r="P43" s="142">
        <f t="shared" si="17"/>
        <v>0.75656690917107583</v>
      </c>
      <c r="Q43" s="23">
        <v>60</v>
      </c>
      <c r="R43" s="27">
        <v>1422.58</v>
      </c>
      <c r="S43" s="27">
        <v>2028.22</v>
      </c>
      <c r="T43" s="27">
        <v>2201.0700000000002</v>
      </c>
      <c r="U43" s="27">
        <v>2458.5700000000002</v>
      </c>
      <c r="V43" s="27">
        <v>2701.17</v>
      </c>
      <c r="W43" s="27">
        <v>2745.43</v>
      </c>
      <c r="X43" s="28">
        <f t="shared" si="9"/>
        <v>3628.7999999999997</v>
      </c>
      <c r="Y43" s="29">
        <f t="shared" si="10"/>
        <v>6048</v>
      </c>
      <c r="Z43" s="30">
        <v>737411</v>
      </c>
      <c r="AA43" s="30">
        <v>1030302</v>
      </c>
      <c r="AB43" s="30">
        <v>1131126</v>
      </c>
      <c r="AC43" s="30">
        <v>1277657</v>
      </c>
      <c r="AD43" s="30">
        <v>1421257</v>
      </c>
      <c r="AE43" s="149">
        <v>1466594</v>
      </c>
      <c r="AF43" s="151" t="str">
        <f>IFERROR(VLOOKUP(C43,'2_LN_DadosExportados'!V:V,1,FALSE),"")</f>
        <v/>
      </c>
      <c r="AG43" t="str" cm="1">
        <f t="array" ref="AG43">IF(AND(ISERR(FIND("sim",INDEX('existencia de wc'!K$2:K$193,MATCH(IP_WC!C43,'existencia de wc'!B$2:B$192,0))))=FALSE,SUMPRODUCT(('2_LN_DadosExportados'!V$2:V$314=IP_WC!C43)*('2_LN_DadosExportados'!A$2:A$314="X"))&gt;0), "MOSTRAR","")</f>
        <v/>
      </c>
    </row>
    <row r="44" spans="1:33" ht="15.75" thickBot="1" x14ac:dyDescent="0.3">
      <c r="A44" s="153" t="str">
        <f t="shared" si="8"/>
        <v>OK</v>
      </c>
      <c r="B44" s="152" t="s">
        <v>767</v>
      </c>
      <c r="C44" s="19" t="s">
        <v>96</v>
      </c>
      <c r="D44" s="21">
        <v>4</v>
      </c>
      <c r="E44" s="144">
        <f>IFERROR(((SUMIFS('2_LN_DadosExportados'!AM:AM,'2_LN_DadosExportados'!$V:$V,$C44,'2_LN_DadosExportados'!$A:$A,"X")+R44)/$X44)*$D44,"")</f>
        <v>0.61057833627278069</v>
      </c>
      <c r="F44" s="144">
        <f>IFERROR(((SUMIFS('2_LN_DadosExportados'!AN:AN,'2_LN_DadosExportados'!$V:$V,$C44,'2_LN_DadosExportados'!$A:$A,"X")+S44)/$X44)*$D44,"")</f>
        <v>0.75896347736625513</v>
      </c>
      <c r="G44" s="144">
        <f>IFERROR(((SUMIFS('2_LN_DadosExportados'!AO:AO,'2_LN_DadosExportados'!$V:$V,$C44,'2_LN_DadosExportados'!$A:$A,"X")+T44)/$X44)*$D44,"")</f>
        <v>1.0346432245737802</v>
      </c>
      <c r="H44" s="144">
        <f>IFERROR(((SUMIFS('2_LN_DadosExportados'!AP:AP,'2_LN_DadosExportados'!$V:$V,$C44,'2_LN_DadosExportados'!$A:$A,"X")+U44)/$X44)*$D44,"")</f>
        <v>1.1144694297472075</v>
      </c>
      <c r="I44" s="144">
        <f>IFERROR(((SUMIFS('2_LN_DadosExportados'!AQ:AQ,'2_LN_DadosExportados'!$V:$V,$C44,'2_LN_DadosExportados'!$A:$A,"X")+V44)/$X44)*$D44,"")</f>
        <v>1.1912845385067607</v>
      </c>
      <c r="J44" s="144">
        <f>IFERROR(((SUMIFS('2_LN_DadosExportados'!AR:AR,'2_LN_DadosExportados'!$V:$V,$C44,'2_LN_DadosExportados'!$A:$A,"X")+W44)/$X44)*$D44,"")</f>
        <v>1.2650885508524399</v>
      </c>
      <c r="K44" s="142">
        <f t="shared" si="11"/>
        <v>0.61057833627278069</v>
      </c>
      <c r="L44" s="142">
        <f t="shared" si="13"/>
        <v>0.75896347736625513</v>
      </c>
      <c r="M44" s="142">
        <f t="shared" si="14"/>
        <v>1.0346432245737802</v>
      </c>
      <c r="N44" s="142">
        <f t="shared" si="15"/>
        <v>1.1144694297472075</v>
      </c>
      <c r="O44" s="142">
        <f t="shared" si="16"/>
        <v>1.1912845385067607</v>
      </c>
      <c r="P44" s="142">
        <f t="shared" si="17"/>
        <v>1.2650885508524399</v>
      </c>
      <c r="Q44" s="23">
        <v>90</v>
      </c>
      <c r="R44" s="27">
        <v>3323.5</v>
      </c>
      <c r="S44" s="27">
        <v>4131.1899999999996</v>
      </c>
      <c r="T44" s="27">
        <v>5631.77</v>
      </c>
      <c r="U44" s="27">
        <v>6066.28</v>
      </c>
      <c r="V44" s="27">
        <v>6484.4</v>
      </c>
      <c r="W44" s="27">
        <v>6886.13</v>
      </c>
      <c r="X44" s="28">
        <f t="shared" si="9"/>
        <v>21772.799999999999</v>
      </c>
      <c r="Y44" s="29">
        <f t="shared" si="10"/>
        <v>24192</v>
      </c>
      <c r="Z44" s="30">
        <v>323688</v>
      </c>
      <c r="AA44" s="30">
        <v>424607</v>
      </c>
      <c r="AB44" s="30">
        <v>600297</v>
      </c>
      <c r="AC44" s="30">
        <v>659831</v>
      </c>
      <c r="AD44" s="30">
        <v>719365</v>
      </c>
      <c r="AE44" s="149">
        <v>778898</v>
      </c>
      <c r="AF44" s="151" t="str">
        <f>IFERROR(VLOOKUP(C44,'2_LN_DadosExportados'!V:V,1,FALSE),"")</f>
        <v>WC - Torno CNC Okuma 1/2/3/4</v>
      </c>
      <c r="AG44" t="str" cm="1">
        <f t="array" ref="AG44">IF(AND(ISERR(FIND("sim",INDEX('existencia de wc'!K$2:K$193,MATCH(IP_WC!C44,'existencia de wc'!B$2:B$192,0))))=FALSE,SUMPRODUCT(('2_LN_DadosExportados'!V$2:V$314=IP_WC!C44)*('2_LN_DadosExportados'!A$2:A$314="X"))&gt;0), "MOSTRAR","")</f>
        <v/>
      </c>
    </row>
    <row r="45" spans="1:33" ht="15.75" thickBot="1" x14ac:dyDescent="0.3">
      <c r="A45" s="153" t="str">
        <f t="shared" si="8"/>
        <v>OK</v>
      </c>
      <c r="B45" s="152" t="s">
        <v>768</v>
      </c>
      <c r="C45" s="19" t="s">
        <v>769</v>
      </c>
      <c r="D45" s="21">
        <v>2</v>
      </c>
      <c r="E45" s="144">
        <f>IFERROR(((SUMIFS('2_LN_DadosExportados'!AM:AM,'2_LN_DadosExportados'!$V:$V,$C45,'2_LN_DadosExportados'!$A:$A,"X")+R45)/$X45)*$D45,"")</f>
        <v>0</v>
      </c>
      <c r="F45" s="144">
        <f>IFERROR(((SUMIFS('2_LN_DadosExportados'!AN:AN,'2_LN_DadosExportados'!$V:$V,$C45,'2_LN_DadosExportados'!$A:$A,"X")+S45)/$X45)*$D45,"")</f>
        <v>0</v>
      </c>
      <c r="G45" s="144">
        <f>IFERROR(((SUMIFS('2_LN_DadosExportados'!AO:AO,'2_LN_DadosExportados'!$V:$V,$C45,'2_LN_DadosExportados'!$A:$A,"X")+T45)/$X45)*$D45,"")</f>
        <v>0</v>
      </c>
      <c r="H45" s="144">
        <f>IFERROR(((SUMIFS('2_LN_DadosExportados'!AP:AP,'2_LN_DadosExportados'!$V:$V,$C45,'2_LN_DadosExportados'!$A:$A,"X")+U45)/$X45)*$D45,"")</f>
        <v>0</v>
      </c>
      <c r="I45" s="144">
        <f>IFERROR(((SUMIFS('2_LN_DadosExportados'!AQ:AQ,'2_LN_DadosExportados'!$V:$V,$C45,'2_LN_DadosExportados'!$A:$A,"X")+V45)/$X45)*$D45,"")</f>
        <v>0</v>
      </c>
      <c r="J45" s="144">
        <f>IFERROR(((SUMIFS('2_LN_DadosExportados'!AR:AR,'2_LN_DadosExportados'!$V:$V,$C45,'2_LN_DadosExportados'!$A:$A,"X")+W45)/$X45)*$D45,"")</f>
        <v>0</v>
      </c>
      <c r="K45" s="142">
        <f t="shared" si="11"/>
        <v>0</v>
      </c>
      <c r="L45" s="142">
        <f t="shared" si="13"/>
        <v>0</v>
      </c>
      <c r="M45" s="142">
        <f t="shared" si="14"/>
        <v>0</v>
      </c>
      <c r="N45" s="142">
        <f t="shared" si="15"/>
        <v>0</v>
      </c>
      <c r="O45" s="142">
        <f t="shared" si="16"/>
        <v>0</v>
      </c>
      <c r="P45" s="142">
        <f t="shared" si="17"/>
        <v>0</v>
      </c>
      <c r="Q45" s="23">
        <v>90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8">
        <f t="shared" si="9"/>
        <v>10886.4</v>
      </c>
      <c r="Y45" s="29">
        <f t="shared" si="10"/>
        <v>12096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149">
        <v>0</v>
      </c>
      <c r="AF45" s="151" t="str">
        <f>IFERROR(VLOOKUP(C45,'2_LN_DadosExportados'!V:V,1,FALSE),"")</f>
        <v/>
      </c>
      <c r="AG45" t="str" cm="1">
        <f t="array" ref="AG45">IF(AND(ISERR(FIND("sim",INDEX('existencia de wc'!K$2:K$193,MATCH(IP_WC!C45,'existencia de wc'!B$2:B$192,0))))=FALSE,SUMPRODUCT(('2_LN_DadosExportados'!V$2:V$314=IP_WC!C45)*('2_LN_DadosExportados'!A$2:A$314="X"))&gt;0), "MOSTRAR","")</f>
        <v/>
      </c>
    </row>
    <row r="46" spans="1:33" ht="15.75" thickBot="1" x14ac:dyDescent="0.3">
      <c r="A46" s="153" t="str">
        <f t="shared" si="8"/>
        <v>OK</v>
      </c>
      <c r="B46" s="152" t="s">
        <v>770</v>
      </c>
      <c r="C46" s="19" t="s">
        <v>111</v>
      </c>
      <c r="D46" s="21">
        <v>1</v>
      </c>
      <c r="E46" s="144">
        <f>IFERROR(((SUMIFS('2_LN_DadosExportados'!AM:AM,'2_LN_DadosExportados'!$V:$V,$C46,'2_LN_DadosExportados'!$A:$A,"X")+R46)/$X46)*$D46,"")</f>
        <v>0.13743937389770725</v>
      </c>
      <c r="F46" s="144">
        <f>IFERROR(((SUMIFS('2_LN_DadosExportados'!AN:AN,'2_LN_DadosExportados'!$V:$V,$C46,'2_LN_DadosExportados'!$A:$A,"X")+S46)/$X46)*$D46,"")</f>
        <v>0.13513190770135214</v>
      </c>
      <c r="G46" s="144">
        <f>IFERROR(((SUMIFS('2_LN_DadosExportados'!AO:AO,'2_LN_DadosExportados'!$V:$V,$C46,'2_LN_DadosExportados'!$A:$A,"X")+T46)/$X46)*$D46,"")</f>
        <v>0.13307429453262787</v>
      </c>
      <c r="H46" s="144">
        <f>IFERROR(((SUMIFS('2_LN_DadosExportados'!AP:AP,'2_LN_DadosExportados'!$V:$V,$C46,'2_LN_DadosExportados'!$A:$A,"X")+U46)/$X46)*$D46,"")</f>
        <v>0.1310166813639036</v>
      </c>
      <c r="I46" s="144">
        <f>IFERROR(((SUMIFS('2_LN_DadosExportados'!AQ:AQ,'2_LN_DadosExportados'!$V:$V,$C46,'2_LN_DadosExportados'!$A:$A,"X")+V46)/$X46)*$D46,"")</f>
        <v>0.12895906819517933</v>
      </c>
      <c r="J46" s="144">
        <f>IFERROR(((SUMIFS('2_LN_DadosExportados'!AR:AR,'2_LN_DadosExportados'!$V:$V,$C46,'2_LN_DadosExportados'!$A:$A,"X")+W46)/$X46)*$D46,"")</f>
        <v>0.12690145502645503</v>
      </c>
      <c r="K46" s="142">
        <f t="shared" si="11"/>
        <v>0.13743937389770725</v>
      </c>
      <c r="L46" s="142">
        <f t="shared" si="13"/>
        <v>0.13513190770135214</v>
      </c>
      <c r="M46" s="142">
        <f t="shared" si="14"/>
        <v>0.13307429453262787</v>
      </c>
      <c r="N46" s="142">
        <f t="shared" si="15"/>
        <v>0.1310166813639036</v>
      </c>
      <c r="O46" s="142">
        <f t="shared" si="16"/>
        <v>0.12895906819517933</v>
      </c>
      <c r="P46" s="142">
        <f t="shared" si="17"/>
        <v>0.12690145502645503</v>
      </c>
      <c r="Q46" s="23">
        <v>90</v>
      </c>
      <c r="R46" s="27">
        <v>748.11</v>
      </c>
      <c r="S46" s="27">
        <v>735.55</v>
      </c>
      <c r="T46" s="27">
        <v>724.35</v>
      </c>
      <c r="U46" s="27">
        <v>713.15</v>
      </c>
      <c r="V46" s="27">
        <v>701.95</v>
      </c>
      <c r="W46" s="27">
        <v>690.75</v>
      </c>
      <c r="X46" s="28">
        <f t="shared" si="9"/>
        <v>5443.2</v>
      </c>
      <c r="Y46" s="29">
        <f t="shared" si="10"/>
        <v>6048</v>
      </c>
      <c r="Z46" s="30">
        <v>157103</v>
      </c>
      <c r="AA46" s="30">
        <v>156818</v>
      </c>
      <c r="AB46" s="30">
        <v>156818</v>
      </c>
      <c r="AC46" s="30">
        <v>156818</v>
      </c>
      <c r="AD46" s="30">
        <v>156818</v>
      </c>
      <c r="AE46" s="149">
        <v>156818</v>
      </c>
      <c r="AF46" s="151" t="str">
        <f>IFERROR(VLOOKUP(C46,'2_LN_DadosExportados'!V:V,1,FALSE),"")</f>
        <v/>
      </c>
      <c r="AG46" t="str" cm="1">
        <f t="array" ref="AG46">IF(AND(ISERR(FIND("sim",INDEX('existencia de wc'!K$2:K$193,MATCH(IP_WC!C46,'existencia de wc'!B$2:B$192,0))))=FALSE,SUMPRODUCT(('2_LN_DadosExportados'!V$2:V$314=IP_WC!C46)*('2_LN_DadosExportados'!A$2:A$314="X"))&gt;0), "MOSTRAR","")</f>
        <v/>
      </c>
    </row>
    <row r="47" spans="1:33" ht="15.75" thickBot="1" x14ac:dyDescent="0.3">
      <c r="A47" s="153" t="str">
        <f t="shared" si="8"/>
        <v>OK</v>
      </c>
      <c r="B47" s="152" t="s">
        <v>771</v>
      </c>
      <c r="C47" s="19" t="s">
        <v>65</v>
      </c>
      <c r="D47" s="21">
        <v>1</v>
      </c>
      <c r="E47" s="144">
        <f>IFERROR(((SUMIFS('2_LN_DadosExportados'!AM:AM,'2_LN_DadosExportados'!$V:$V,$C47,'2_LN_DadosExportados'!$A:$A,"X")+R47)/$X47)*$D47,"")</f>
        <v>0.49887198706643154</v>
      </c>
      <c r="F47" s="144">
        <f>IFERROR(((SUMIFS('2_LN_DadosExportados'!AN:AN,'2_LN_DadosExportados'!$V:$V,$C47,'2_LN_DadosExportados'!$A:$A,"X")+S47)/$X47)*$D47,"")</f>
        <v>0.65025169018224571</v>
      </c>
      <c r="G47" s="144">
        <f>IFERROR(((SUMIFS('2_LN_DadosExportados'!AO:AO,'2_LN_DadosExportados'!$V:$V,$C47,'2_LN_DadosExportados'!$A:$A,"X")+T47)/$X47)*$D47,"")</f>
        <v>0.71521347736625518</v>
      </c>
      <c r="H47" s="144">
        <f>IFERROR(((SUMIFS('2_LN_DadosExportados'!AP:AP,'2_LN_DadosExportados'!$V:$V,$C47,'2_LN_DadosExportados'!$A:$A,"X")+U47)/$X47)*$D47,"")</f>
        <v>0.8112709435626102</v>
      </c>
      <c r="I47" s="144">
        <f>IFERROR(((SUMIFS('2_LN_DadosExportados'!AQ:AQ,'2_LN_DadosExportados'!$V:$V,$C47,'2_LN_DadosExportados'!$A:$A,"X")+V47)/$X47)*$D47,"")</f>
        <v>0.90185736331569666</v>
      </c>
      <c r="J47" s="144">
        <f>IFERROR(((SUMIFS('2_LN_DadosExportados'!AR:AR,'2_LN_DadosExportados'!$V:$V,$C47,'2_LN_DadosExportados'!$A:$A,"X")+W47)/$X47)*$D47,"")</f>
        <v>0.91956753380364498</v>
      </c>
      <c r="K47" s="142">
        <f t="shared" si="11"/>
        <v>0.49887198706643154</v>
      </c>
      <c r="L47" s="142">
        <f t="shared" si="13"/>
        <v>0.65025169018224571</v>
      </c>
      <c r="M47" s="142">
        <f t="shared" si="14"/>
        <v>0.71521347736625518</v>
      </c>
      <c r="N47" s="142">
        <f t="shared" si="15"/>
        <v>0.8112709435626102</v>
      </c>
      <c r="O47" s="142">
        <f t="shared" si="16"/>
        <v>0.90185736331569666</v>
      </c>
      <c r="P47" s="142">
        <f t="shared" si="17"/>
        <v>0.91956753380364498</v>
      </c>
      <c r="Q47" s="23">
        <v>90</v>
      </c>
      <c r="R47" s="27">
        <v>2715.46</v>
      </c>
      <c r="S47" s="27">
        <v>3539.45</v>
      </c>
      <c r="T47" s="27">
        <v>3893.05</v>
      </c>
      <c r="U47" s="27">
        <v>4415.91</v>
      </c>
      <c r="V47" s="27">
        <v>4908.99</v>
      </c>
      <c r="W47" s="27">
        <v>5005.3900000000003</v>
      </c>
      <c r="X47" s="28">
        <f t="shared" si="9"/>
        <v>5443.2</v>
      </c>
      <c r="Y47" s="29">
        <f t="shared" si="10"/>
        <v>6048</v>
      </c>
      <c r="Z47" s="30">
        <v>601283</v>
      </c>
      <c r="AA47" s="30">
        <v>814370</v>
      </c>
      <c r="AB47" s="30">
        <v>915194</v>
      </c>
      <c r="AC47" s="30">
        <v>1061725</v>
      </c>
      <c r="AD47" s="30">
        <v>1205325</v>
      </c>
      <c r="AE47" s="149">
        <v>1250662</v>
      </c>
      <c r="AF47" s="151" t="str">
        <f>IFERROR(VLOOKUP(C47,'2_LN_DadosExportados'!V:V,1,FALSE),"")</f>
        <v>WC - Tor FAMAR Bi-SUB</v>
      </c>
      <c r="AG47" t="str" cm="1">
        <f t="array" ref="AG47">IF(AND(ISERR(FIND("sim",INDEX('existencia de wc'!K$2:K$193,MATCH(IP_WC!C47,'existencia de wc'!B$2:B$192,0))))=FALSE,SUMPRODUCT(('2_LN_DadosExportados'!V$2:V$314=IP_WC!C47)*('2_LN_DadosExportados'!A$2:A$314="X"))&gt;0), "MOSTRAR","")</f>
        <v/>
      </c>
    </row>
    <row r="48" spans="1:33" ht="15.75" thickBot="1" x14ac:dyDescent="0.3">
      <c r="A48" s="153" t="str">
        <f t="shared" si="8"/>
        <v>INVEST</v>
      </c>
      <c r="B48" s="152" t="s">
        <v>772</v>
      </c>
      <c r="C48" s="19" t="s">
        <v>107</v>
      </c>
      <c r="D48" s="21">
        <v>1</v>
      </c>
      <c r="E48" s="144">
        <f>IFERROR(((SUMIFS('2_LN_DadosExportados'!AM:AM,'2_LN_DadosExportados'!$V:$V,$C48,'2_LN_DadosExportados'!$A:$A,"X")+R48)/$X48)*$D48,"")</f>
        <v>0.86116622574955914</v>
      </c>
      <c r="F48" s="144">
        <f>IFERROR(((SUMIFS('2_LN_DadosExportados'!AN:AN,'2_LN_DadosExportados'!$V:$V,$C48,'2_LN_DadosExportados'!$A:$A,"X")+S48)/$X48)*$D48,"")</f>
        <v>1.2634534832451498</v>
      </c>
      <c r="G48" s="144">
        <f>IFERROR(((SUMIFS('2_LN_DadosExportados'!AO:AO,'2_LN_DadosExportados'!$V:$V,$C48,'2_LN_DadosExportados'!$A:$A,"X")+T48)/$X48)*$D48,"")</f>
        <v>1.4313712522045856</v>
      </c>
      <c r="H48" s="144">
        <f>IFERROR(((SUMIFS('2_LN_DadosExportados'!AP:AP,'2_LN_DadosExportados'!$V:$V,$C48,'2_LN_DadosExportados'!$A:$A,"X")+U48)/$X48)*$D48,"")</f>
        <v>1.6770355673133452</v>
      </c>
      <c r="I48" s="144">
        <f>IFERROR(((SUMIFS('2_LN_DadosExportados'!AQ:AQ,'2_LN_DadosExportados'!$V:$V,$C48,'2_LN_DadosExportados'!$A:$A,"X")+V48)/$X48)*$D48,"")</f>
        <v>1.9090130805408583</v>
      </c>
      <c r="J48" s="144">
        <f>IFERROR(((SUMIFS('2_LN_DadosExportados'!AR:AR,'2_LN_DadosExportados'!$V:$V,$C48,'2_LN_DadosExportados'!$A:$A,"X")+W48)/$X48)*$D48,"")</f>
        <v>1.958805482069371</v>
      </c>
      <c r="K48" s="142">
        <f t="shared" si="11"/>
        <v>0.86116622574955914</v>
      </c>
      <c r="L48" s="142">
        <f t="shared" si="13"/>
        <v>1.2634534832451498</v>
      </c>
      <c r="M48" s="142">
        <f t="shared" si="14"/>
        <v>1.4313712522045856</v>
      </c>
      <c r="N48" s="142">
        <f t="shared" si="15"/>
        <v>1.6770355673133452</v>
      </c>
      <c r="O48" s="142">
        <f t="shared" si="16"/>
        <v>1.9090130805408583</v>
      </c>
      <c r="P48" s="142">
        <f t="shared" si="17"/>
        <v>1.958805482069371</v>
      </c>
      <c r="Q48" s="23">
        <v>90</v>
      </c>
      <c r="R48" s="27">
        <v>4687.5</v>
      </c>
      <c r="S48" s="27">
        <v>6877.23</v>
      </c>
      <c r="T48" s="27">
        <v>7791.24</v>
      </c>
      <c r="U48" s="27">
        <v>9128.44</v>
      </c>
      <c r="V48" s="27">
        <v>10391.14</v>
      </c>
      <c r="W48" s="27">
        <v>10662.17</v>
      </c>
      <c r="X48" s="28">
        <f t="shared" si="9"/>
        <v>5443.2</v>
      </c>
      <c r="Y48" s="29">
        <f t="shared" si="10"/>
        <v>6048</v>
      </c>
      <c r="Z48" s="30">
        <v>450000</v>
      </c>
      <c r="AA48" s="30">
        <v>670268</v>
      </c>
      <c r="AB48" s="30">
        <v>771092</v>
      </c>
      <c r="AC48" s="30">
        <v>917623</v>
      </c>
      <c r="AD48" s="30">
        <v>1061223</v>
      </c>
      <c r="AE48" s="149">
        <v>1106560</v>
      </c>
      <c r="AF48" s="151" t="str">
        <f>IFERROR(VLOOKUP(C48,'2_LN_DadosExportados'!V:V,1,FALSE),"")</f>
        <v/>
      </c>
      <c r="AG48" t="str" cm="1">
        <f t="array" ref="AG48">IF(AND(ISERR(FIND("sim",INDEX('existencia de wc'!K$2:K$193,MATCH(IP_WC!C48,'existencia de wc'!B$2:B$192,0))))=FALSE,SUMPRODUCT(('2_LN_DadosExportados'!V$2:V$314=IP_WC!C48)*('2_LN_DadosExportados'!A$2:A$314="X"))&gt;0), "MOSTRAR","")</f>
        <v/>
      </c>
    </row>
    <row r="49" spans="1:33" ht="15.75" thickBot="1" x14ac:dyDescent="0.3">
      <c r="A49" s="153" t="str">
        <f t="shared" si="8"/>
        <v>OK</v>
      </c>
      <c r="B49" s="152" t="s">
        <v>773</v>
      </c>
      <c r="C49" s="19" t="s">
        <v>774</v>
      </c>
      <c r="D49" s="21">
        <v>1</v>
      </c>
      <c r="E49" s="144">
        <f>IFERROR(((SUMIFS('2_LN_DadosExportados'!AM:AM,'2_LN_DadosExportados'!$V:$V,$C49,'2_LN_DadosExportados'!$A:$A,"X")+R49)/$X49)*$D49,"")</f>
        <v>0.20015516890516891</v>
      </c>
      <c r="F49" s="144">
        <f>IFERROR(((SUMIFS('2_LN_DadosExportados'!AN:AN,'2_LN_DadosExportados'!$V:$V,$C49,'2_LN_DadosExportados'!$A:$A,"X")+S49)/$X49)*$D49,"")</f>
        <v>0.24447496947496947</v>
      </c>
      <c r="G49" s="144">
        <f>IFERROR(((SUMIFS('2_LN_DadosExportados'!AO:AO,'2_LN_DadosExportados'!$V:$V,$C49,'2_LN_DadosExportados'!$A:$A,"X")+T49)/$X49)*$D49,"")</f>
        <v>0.24074837199837196</v>
      </c>
      <c r="H49" s="144">
        <f>IFERROR(((SUMIFS('2_LN_DadosExportados'!AP:AP,'2_LN_DadosExportados'!$V:$V,$C49,'2_LN_DadosExportados'!$A:$A,"X")+U49)/$X49)*$D49,"")</f>
        <v>0.23702686202686199</v>
      </c>
      <c r="I49" s="144">
        <f>IFERROR(((SUMIFS('2_LN_DadosExportados'!AQ:AQ,'2_LN_DadosExportados'!$V:$V,$C49,'2_LN_DadosExportados'!$A:$A,"X")+V49)/$X49)*$D49,"")</f>
        <v>0.23330535205535202</v>
      </c>
      <c r="J49" s="144">
        <f>IFERROR(((SUMIFS('2_LN_DadosExportados'!AR:AR,'2_LN_DadosExportados'!$V:$V,$C49,'2_LN_DadosExportados'!$A:$A,"X")+W49)/$X49)*$D49,"")</f>
        <v>0.22958129833129831</v>
      </c>
      <c r="K49" s="142">
        <f t="shared" si="11"/>
        <v>0.20015516890516891</v>
      </c>
      <c r="L49" s="142">
        <f t="shared" si="13"/>
        <v>0.24447496947496947</v>
      </c>
      <c r="M49" s="142">
        <f t="shared" si="14"/>
        <v>0.24074837199837196</v>
      </c>
      <c r="N49" s="142">
        <f t="shared" si="15"/>
        <v>0.23702686202686199</v>
      </c>
      <c r="O49" s="142">
        <f t="shared" si="16"/>
        <v>0.23330535205535202</v>
      </c>
      <c r="P49" s="142">
        <f t="shared" si="17"/>
        <v>0.22958129833129831</v>
      </c>
      <c r="Q49" s="23">
        <v>65</v>
      </c>
      <c r="R49" s="27">
        <v>786.85</v>
      </c>
      <c r="S49" s="27">
        <v>961.08</v>
      </c>
      <c r="T49" s="27">
        <v>946.43</v>
      </c>
      <c r="U49" s="27">
        <v>931.8</v>
      </c>
      <c r="V49" s="27">
        <v>917.17</v>
      </c>
      <c r="W49" s="27">
        <v>902.53</v>
      </c>
      <c r="X49" s="28">
        <f t="shared" si="9"/>
        <v>3931.2000000000003</v>
      </c>
      <c r="Y49" s="29">
        <f t="shared" si="10"/>
        <v>6048</v>
      </c>
      <c r="Z49" s="30">
        <v>849789</v>
      </c>
      <c r="AA49" s="30">
        <v>1053756</v>
      </c>
      <c r="AB49" s="30">
        <v>1053756</v>
      </c>
      <c r="AC49" s="30">
        <v>1053756</v>
      </c>
      <c r="AD49" s="30">
        <v>1053756</v>
      </c>
      <c r="AE49" s="149">
        <v>1053756</v>
      </c>
      <c r="AF49" s="151" t="str">
        <f>IFERROR(VLOOKUP(C49,'2_LN_DadosExportados'!V:V,1,FALSE),"")</f>
        <v/>
      </c>
      <c r="AG49" t="str" cm="1">
        <f t="array" ref="AG49">IF(AND(ISERR(FIND("sim",INDEX('existencia de wc'!K$2:K$193,MATCH(IP_WC!C49,'existencia de wc'!B$2:B$192,0))))=FALSE,SUMPRODUCT(('2_LN_DadosExportados'!V$2:V$314=IP_WC!C49)*('2_LN_DadosExportados'!A$2:A$314="X"))&gt;0), "MOSTRAR","")</f>
        <v/>
      </c>
    </row>
    <row r="50" spans="1:33" ht="15.75" thickBot="1" x14ac:dyDescent="0.3">
      <c r="A50" s="153" t="str">
        <f t="shared" si="8"/>
        <v>OK</v>
      </c>
      <c r="B50" s="152" t="s">
        <v>775</v>
      </c>
      <c r="C50" s="19" t="s">
        <v>109</v>
      </c>
      <c r="D50" s="21">
        <v>1</v>
      </c>
      <c r="E50" s="144">
        <f>IFERROR(((SUMIFS('2_LN_DadosExportados'!AM:AM,'2_LN_DadosExportados'!$V:$V,$C50,'2_LN_DadosExportados'!$A:$A,"X")+R50)/$X50)*$D50,"")</f>
        <v>0.44369855967078187</v>
      </c>
      <c r="F50" s="144">
        <f>IFERROR(((SUMIFS('2_LN_DadosExportados'!AN:AN,'2_LN_DadosExportados'!$V:$V,$C50,'2_LN_DadosExportados'!$A:$A,"X")+S50)/$X50)*$D50,"")</f>
        <v>0.36251469723691948</v>
      </c>
      <c r="G50" s="144">
        <f>IFERROR(((SUMIFS('2_LN_DadosExportados'!AO:AO,'2_LN_DadosExportados'!$V:$V,$C50,'2_LN_DadosExportados'!$A:$A,"X")+T50)/$X50)*$D50,"")</f>
        <v>0.487446722516167</v>
      </c>
      <c r="H50" s="144">
        <f>IFERROR(((SUMIFS('2_LN_DadosExportados'!AP:AP,'2_LN_DadosExportados'!$V:$V,$C50,'2_LN_DadosExportados'!$A:$A,"X")+U50)/$X50)*$D50,"")</f>
        <v>0.52342923280423281</v>
      </c>
      <c r="I50" s="144">
        <f>IFERROR(((SUMIFS('2_LN_DadosExportados'!AQ:AQ,'2_LN_DadosExportados'!$V:$V,$C50,'2_LN_DadosExportados'!$A:$A,"X")+V50)/$X50)*$D50,"")</f>
        <v>0.55804490005878904</v>
      </c>
      <c r="J50" s="144">
        <f>IFERROR(((SUMIFS('2_LN_DadosExportados'!AR:AR,'2_LN_DadosExportados'!$V:$V,$C50,'2_LN_DadosExportados'!$A:$A,"X")+W50)/$X50)*$D50,"")</f>
        <v>0.59129556143445039</v>
      </c>
      <c r="K50" s="142">
        <f>IFERROR(R50/$X50*$D50,"")</f>
        <v>0.44369855967078187</v>
      </c>
      <c r="L50" s="142">
        <f t="shared" si="13"/>
        <v>0.36251469723691948</v>
      </c>
      <c r="M50" s="142">
        <f t="shared" si="14"/>
        <v>0.487446722516167</v>
      </c>
      <c r="N50" s="142">
        <f t="shared" si="15"/>
        <v>0.52342923280423281</v>
      </c>
      <c r="O50" s="142">
        <f t="shared" si="16"/>
        <v>0.55804490005878904</v>
      </c>
      <c r="P50" s="142">
        <f t="shared" si="17"/>
        <v>0.59129556143445039</v>
      </c>
      <c r="Q50" s="23">
        <v>90</v>
      </c>
      <c r="R50" s="27">
        <v>2415.14</v>
      </c>
      <c r="S50" s="27">
        <v>1973.24</v>
      </c>
      <c r="T50" s="27">
        <v>2653.27</v>
      </c>
      <c r="U50" s="27">
        <v>2849.13</v>
      </c>
      <c r="V50" s="27">
        <v>3037.55</v>
      </c>
      <c r="W50" s="27">
        <v>3218.54</v>
      </c>
      <c r="X50" s="28">
        <f t="shared" si="9"/>
        <v>5443.2</v>
      </c>
      <c r="Y50" s="29">
        <f t="shared" si="10"/>
        <v>6048</v>
      </c>
      <c r="Z50" s="30">
        <v>545820</v>
      </c>
      <c r="AA50" s="30">
        <v>452911</v>
      </c>
      <c r="AB50" s="30">
        <v>628601</v>
      </c>
      <c r="AC50" s="30">
        <v>688135</v>
      </c>
      <c r="AD50" s="30">
        <v>747669</v>
      </c>
      <c r="AE50" s="149">
        <v>807202</v>
      </c>
      <c r="AF50" s="151" t="str">
        <f>IFERROR(VLOOKUP(C50,'2_LN_DadosExportados'!V:V,1,FALSE),"")</f>
        <v/>
      </c>
      <c r="AG50" t="str" cm="1">
        <f t="array" ref="AG50">IF(AND(ISERR(FIND("sim",INDEX('existencia de wc'!K$2:K$193,MATCH(IP_WC!C50,'existencia de wc'!B$2:B$192,0))))=FALSE,SUMPRODUCT(('2_LN_DadosExportados'!V$2:V$314=IP_WC!C50)*('2_LN_DadosExportados'!A$2:A$314="X"))&gt;0), "MOSTRAR","")</f>
        <v/>
      </c>
    </row>
    <row r="51" spans="1:33" ht="15.75" thickBot="1" x14ac:dyDescent="0.3">
      <c r="A51" s="153" t="str">
        <f t="shared" si="8"/>
        <v>OK</v>
      </c>
      <c r="B51" s="152" t="s">
        <v>776</v>
      </c>
      <c r="C51" s="19" t="s">
        <v>81</v>
      </c>
      <c r="D51" s="21">
        <v>1</v>
      </c>
      <c r="E51" s="144">
        <f>IFERROR(((SUMIFS('2_LN_DadosExportados'!AM:AM,'2_LN_DadosExportados'!$V:$V,$C51,'2_LN_DadosExportados'!$A:$A,"X")+R51)/$X51)*$D51,"")</f>
        <v>0.70119268077601415</v>
      </c>
      <c r="F51" s="144">
        <f>IFERROR(((SUMIFS('2_LN_DadosExportados'!AN:AN,'2_LN_DadosExportados'!$V:$V,$C51,'2_LN_DadosExportados'!$A:$A,"X")+S51)/$X51)*$D51,"")</f>
        <v>0.74385802469135798</v>
      </c>
      <c r="G51" s="144">
        <f>IFERROR(((SUMIFS('2_LN_DadosExportados'!AO:AO,'2_LN_DadosExportados'!$V:$V,$C51,'2_LN_DadosExportados'!$A:$A,"X")+T51)/$X51)*$D51,"")</f>
        <v>0.79747134038800704</v>
      </c>
      <c r="H51" s="144">
        <f>IFERROR(((SUMIFS('2_LN_DadosExportados'!AP:AP,'2_LN_DadosExportados'!$V:$V,$C51,'2_LN_DadosExportados'!$A:$A,"X")+U51)/$X51)*$D51,"")</f>
        <v>0.87806216931216929</v>
      </c>
      <c r="I51" s="144">
        <f>IFERROR(((SUMIFS('2_LN_DadosExportados'!AQ:AQ,'2_LN_DadosExportados'!$V:$V,$C51,'2_LN_DadosExportados'!$A:$A,"X")+V51)/$X51)*$D51,"")</f>
        <v>0.95390432098765432</v>
      </c>
      <c r="J51" s="144">
        <f>IFERROR(((SUMIFS('2_LN_DadosExportados'!AR:AR,'2_LN_DadosExportados'!$V:$V,$C51,'2_LN_DadosExportados'!$A:$A,"X")+W51)/$X51)*$D51,"")</f>
        <v>0.96652998236331578</v>
      </c>
      <c r="K51" s="142">
        <f>IFERROR(R51/$X51*$D51,"")</f>
        <v>0.70119268077601415</v>
      </c>
      <c r="L51" s="142">
        <f t="shared" si="13"/>
        <v>0.74385802469135798</v>
      </c>
      <c r="M51" s="142">
        <f t="shared" si="14"/>
        <v>0.79747134038800704</v>
      </c>
      <c r="N51" s="142">
        <f t="shared" si="15"/>
        <v>0.87806216931216929</v>
      </c>
      <c r="O51" s="142">
        <f t="shared" si="16"/>
        <v>0.95390432098765432</v>
      </c>
      <c r="P51" s="142">
        <f t="shared" si="17"/>
        <v>0.96652998236331578</v>
      </c>
      <c r="Q51" s="23">
        <v>75</v>
      </c>
      <c r="R51" s="27">
        <v>3180.61</v>
      </c>
      <c r="S51" s="27">
        <v>3374.14</v>
      </c>
      <c r="T51" s="27">
        <v>3617.33</v>
      </c>
      <c r="U51" s="27">
        <v>3982.89</v>
      </c>
      <c r="V51" s="27">
        <v>4326.91</v>
      </c>
      <c r="W51" s="27">
        <v>4384.18</v>
      </c>
      <c r="X51" s="28">
        <f t="shared" si="9"/>
        <v>4536</v>
      </c>
      <c r="Y51" s="29">
        <f t="shared" si="10"/>
        <v>6048</v>
      </c>
      <c r="Z51" s="30">
        <v>1309131</v>
      </c>
      <c r="AA51" s="30">
        <v>1252214</v>
      </c>
      <c r="AB51" s="30">
        <v>1353038</v>
      </c>
      <c r="AC51" s="30">
        <v>1499569</v>
      </c>
      <c r="AD51" s="30">
        <v>1643169</v>
      </c>
      <c r="AE51" s="149">
        <v>1688506</v>
      </c>
      <c r="AF51" s="151" t="str">
        <f>IFERROR(VLOOKUP(C51,'2_LN_DadosExportados'!V:V,1,FALSE),"")</f>
        <v/>
      </c>
      <c r="AG51" t="str" cm="1">
        <f t="array" ref="AG51">IF(AND(ISERR(FIND("sim",INDEX('existencia de wc'!K$2:K$193,MATCH(IP_WC!C51,'existencia de wc'!B$2:B$192,0))))=FALSE,SUMPRODUCT(('2_LN_DadosExportados'!V$2:V$314=IP_WC!C51)*('2_LN_DadosExportados'!A$2:A$314="X"))&gt;0), "MOSTRAR","")</f>
        <v/>
      </c>
    </row>
    <row r="52" spans="1:33" ht="15.75" thickBot="1" x14ac:dyDescent="0.3">
      <c r="A52" s="153" t="str">
        <f t="shared" si="8"/>
        <v>INVEST</v>
      </c>
      <c r="B52" s="152" t="s">
        <v>777</v>
      </c>
      <c r="C52" s="19" t="s">
        <v>778</v>
      </c>
      <c r="D52" s="21">
        <v>9.9999999999999998E-13</v>
      </c>
      <c r="E52" s="144">
        <f>IFERROR(((SUMIFS('2_LN_DadosExportados'!AM:AM,'2_LN_DadosExportados'!$V:$V,$C52,'2_LN_DadosExportados'!$A:$A,"X")+R52)/$X52)*$D52,"")</f>
        <v>0</v>
      </c>
      <c r="F52" s="144">
        <f>IFERROR(((SUMIFS('2_LN_DadosExportados'!AN:AN,'2_LN_DadosExportados'!$V:$V,$C52,'2_LN_DadosExportados'!$A:$A,"X")+S52)/$X52)*$D52,"")</f>
        <v>2.9254850088183421E-3</v>
      </c>
      <c r="G52" s="144">
        <f>IFERROR(((SUMIFS('2_LN_DadosExportados'!AO:AO,'2_LN_DadosExportados'!$V:$V,$C52,'2_LN_DadosExportados'!$A:$A,"X")+T52)/$X52)*$D52,"")</f>
        <v>0.17681878306878304</v>
      </c>
      <c r="H52" s="144">
        <f>IFERROR(((SUMIFS('2_LN_DadosExportados'!AP:AP,'2_LN_DadosExportados'!$V:$V,$C52,'2_LN_DadosExportados'!$A:$A,"X")+U52)/$X52)*$D52,"")</f>
        <v>0.23211419753086415</v>
      </c>
      <c r="I52" s="144">
        <f>IFERROR(((SUMIFS('2_LN_DadosExportados'!AQ:AQ,'2_LN_DadosExportados'!$V:$V,$C52,'2_LN_DadosExportados'!$A:$A,"X")+V52)/$X52)*$D52,"")</f>
        <v>0.28558421516754851</v>
      </c>
      <c r="J52" s="144">
        <f>IFERROR(((SUMIFS('2_LN_DadosExportados'!AR:AR,'2_LN_DadosExportados'!$V:$V,$C52,'2_LN_DadosExportados'!$A:$A,"X")+W52)/$X52)*$D52,"")</f>
        <v>0.33723324514991182</v>
      </c>
      <c r="K52" s="142">
        <f t="shared" si="11"/>
        <v>0</v>
      </c>
      <c r="L52" s="142">
        <f t="shared" si="13"/>
        <v>2.9254850088183421E-3</v>
      </c>
      <c r="M52" s="142">
        <f t="shared" si="14"/>
        <v>0.17681878306878304</v>
      </c>
      <c r="N52" s="142">
        <f t="shared" si="15"/>
        <v>0.23211419753086415</v>
      </c>
      <c r="O52" s="142">
        <f t="shared" si="16"/>
        <v>0.28558421516754851</v>
      </c>
      <c r="P52" s="142">
        <f t="shared" si="17"/>
        <v>0.33723324514991182</v>
      </c>
      <c r="Q52" s="23">
        <v>75</v>
      </c>
      <c r="R52" s="27">
        <v>0</v>
      </c>
      <c r="S52" s="27">
        <v>13.27</v>
      </c>
      <c r="T52" s="27">
        <v>802.05</v>
      </c>
      <c r="U52" s="27">
        <v>1052.8699999999999</v>
      </c>
      <c r="V52" s="27">
        <v>1295.4100000000001</v>
      </c>
      <c r="W52" s="27">
        <v>1529.69</v>
      </c>
      <c r="X52" s="28">
        <f t="shared" si="9"/>
        <v>4.5360000000000001E-9</v>
      </c>
      <c r="Y52" s="29">
        <f t="shared" si="10"/>
        <v>6.0479999999999998E-9</v>
      </c>
      <c r="Z52" s="30">
        <v>0</v>
      </c>
      <c r="AA52" s="30">
        <v>2911</v>
      </c>
      <c r="AB52" s="30">
        <v>178601</v>
      </c>
      <c r="AC52" s="30">
        <v>238135</v>
      </c>
      <c r="AD52" s="30">
        <v>297669</v>
      </c>
      <c r="AE52" s="149">
        <v>357202</v>
      </c>
      <c r="AF52" s="151" t="str">
        <f>IFERROR(VLOOKUP(C52,'2_LN_DadosExportados'!V:V,1,FALSE),"")</f>
        <v/>
      </c>
      <c r="AG52" t="str" cm="1">
        <f t="array" ref="AG52">IF(AND(ISERR(FIND("sim",INDEX('existencia de wc'!K$2:K$193,MATCH(IP_WC!C52,'existencia de wc'!B$2:B$192,0))))=FALSE,SUMPRODUCT(('2_LN_DadosExportados'!V$2:V$314=IP_WC!C52)*('2_LN_DadosExportados'!A$2:A$314="X"))&gt;0), "MOSTRAR","")</f>
        <v/>
      </c>
    </row>
    <row r="53" spans="1:33" ht="15.75" thickBot="1" x14ac:dyDescent="0.3">
      <c r="A53" s="153" t="str">
        <f t="shared" si="8"/>
        <v>OK</v>
      </c>
      <c r="B53" s="152" t="s">
        <v>779</v>
      </c>
      <c r="C53" s="19" t="s">
        <v>780</v>
      </c>
      <c r="D53" s="21">
        <v>2</v>
      </c>
      <c r="E53" s="144">
        <f>IFERROR(((SUMIFS('2_LN_DadosExportados'!AM:AM,'2_LN_DadosExportados'!$V:$V,$C53,'2_LN_DadosExportados'!$A:$A,"X")+R53)/$X53)*$D53,"")</f>
        <v>0.68821869488536158</v>
      </c>
      <c r="F53" s="144">
        <f>IFERROR(((SUMIFS('2_LN_DadosExportados'!AN:AN,'2_LN_DadosExportados'!$V:$V,$C53,'2_LN_DadosExportados'!$A:$A,"X")+S53)/$X53)*$D53,"")</f>
        <v>1.1600418871252205</v>
      </c>
      <c r="G53" s="144">
        <f>IFERROR(((SUMIFS('2_LN_DadosExportados'!AO:AO,'2_LN_DadosExportados'!$V:$V,$C53,'2_LN_DadosExportados'!$A:$A,"X")+T53)/$X53)*$D53,"")</f>
        <v>1.1423765432098765</v>
      </c>
      <c r="H53" s="144">
        <f>IFERROR(((SUMIFS('2_LN_DadosExportados'!AP:AP,'2_LN_DadosExportados'!$V:$V,$C53,'2_LN_DadosExportados'!$A:$A,"X")+U53)/$X53)*$D53,"")</f>
        <v>1.1247067901234569</v>
      </c>
      <c r="I53" s="144">
        <f>IFERROR(((SUMIFS('2_LN_DadosExportados'!AQ:AQ,'2_LN_DadosExportados'!$V:$V,$C53,'2_LN_DadosExportados'!$A:$A,"X")+V53)/$X53)*$D53,"")</f>
        <v>1.1070436507936507</v>
      </c>
      <c r="J53" s="144">
        <f>IFERROR(((SUMIFS('2_LN_DadosExportados'!AR:AR,'2_LN_DadosExportados'!$V:$V,$C53,'2_LN_DadosExportados'!$A:$A,"X")+W53)/$X53)*$D53,"")</f>
        <v>1.0893805114638448</v>
      </c>
      <c r="K53" s="142">
        <f t="shared" si="11"/>
        <v>0.68821869488536158</v>
      </c>
      <c r="L53" s="142">
        <f t="shared" si="13"/>
        <v>1.1600418871252205</v>
      </c>
      <c r="M53" s="142">
        <f t="shared" si="14"/>
        <v>1.1423765432098765</v>
      </c>
      <c r="N53" s="142">
        <f t="shared" si="15"/>
        <v>1.1247067901234569</v>
      </c>
      <c r="O53" s="142">
        <f t="shared" si="16"/>
        <v>1.1070436507936507</v>
      </c>
      <c r="P53" s="142">
        <f t="shared" si="17"/>
        <v>1.0893805114638448</v>
      </c>
      <c r="Q53" s="23">
        <v>75</v>
      </c>
      <c r="R53" s="27">
        <v>3121.76</v>
      </c>
      <c r="S53" s="27">
        <v>5261.95</v>
      </c>
      <c r="T53" s="27">
        <v>5181.82</v>
      </c>
      <c r="U53" s="27">
        <v>5101.67</v>
      </c>
      <c r="V53" s="27">
        <v>5021.55</v>
      </c>
      <c r="W53" s="27">
        <v>4941.43</v>
      </c>
      <c r="X53" s="28">
        <f t="shared" si="9"/>
        <v>9072</v>
      </c>
      <c r="Y53" s="29">
        <f t="shared" si="10"/>
        <v>12096</v>
      </c>
      <c r="Z53" s="30">
        <v>624350</v>
      </c>
      <c r="AA53" s="30">
        <v>1065787</v>
      </c>
      <c r="AB53" s="30">
        <v>1065787</v>
      </c>
      <c r="AC53" s="30">
        <v>1065787</v>
      </c>
      <c r="AD53" s="30">
        <v>1065787</v>
      </c>
      <c r="AE53" s="149">
        <v>1065787</v>
      </c>
      <c r="AF53" s="151" t="str">
        <f>IFERROR(VLOOKUP(C53,'2_LN_DadosExportados'!V:V,1,FALSE),"")</f>
        <v/>
      </c>
      <c r="AG53" t="str" cm="1">
        <f t="array" ref="AG53">IF(AND(ISERR(FIND("sim",INDEX('existencia de wc'!K$2:K$193,MATCH(IP_WC!C53,'existencia de wc'!B$2:B$192,0))))=FALSE,SUMPRODUCT(('2_LN_DadosExportados'!V$2:V$314=IP_WC!C53)*('2_LN_DadosExportados'!A$2:A$314="X"))&gt;0), "MOSTRAR","")</f>
        <v/>
      </c>
    </row>
    <row r="54" spans="1:33" ht="15.75" thickBot="1" x14ac:dyDescent="0.3">
      <c r="A54" s="153" t="str">
        <f t="shared" si="8"/>
        <v>OK</v>
      </c>
      <c r="B54" s="152" t="s">
        <v>781</v>
      </c>
      <c r="C54" s="19" t="s">
        <v>128</v>
      </c>
      <c r="D54" s="21">
        <v>2</v>
      </c>
      <c r="E54" s="144">
        <f>IFERROR(((SUMIFS('2_LN_DadosExportados'!AM:AM,'2_LN_DadosExportados'!$V:$V,$C54,'2_LN_DadosExportados'!$A:$A,"X")+R54)/$X54)*$D54,"")</f>
        <v>0.5897464726631394</v>
      </c>
      <c r="F54" s="144">
        <f>IFERROR(((SUMIFS('2_LN_DadosExportados'!AN:AN,'2_LN_DadosExportados'!$V:$V,$C54,'2_LN_DadosExportados'!$A:$A,"X")+S54)/$X54)*$D54,"")</f>
        <v>1.0639880952380953</v>
      </c>
      <c r="G54" s="144">
        <f>IFERROR(((SUMIFS('2_LN_DadosExportados'!AO:AO,'2_LN_DadosExportados'!$V:$V,$C54,'2_LN_DadosExportados'!$A:$A,"X")+T54)/$X54)*$D54,"")</f>
        <v>1.0477843915343916</v>
      </c>
      <c r="H54" s="144">
        <f>IFERROR(((SUMIFS('2_LN_DadosExportados'!AP:AP,'2_LN_DadosExportados'!$V:$V,$C54,'2_LN_DadosExportados'!$A:$A,"X")+U54)/$X54)*$D54,"")</f>
        <v>1.0315784832451498</v>
      </c>
      <c r="I54" s="144">
        <f>IFERROR(((SUMIFS('2_LN_DadosExportados'!AQ:AQ,'2_LN_DadosExportados'!$V:$V,$C54,'2_LN_DadosExportados'!$A:$A,"X")+V54)/$X54)*$D54,"")</f>
        <v>1.01538139329806</v>
      </c>
      <c r="J54" s="144">
        <f>IFERROR(((SUMIFS('2_LN_DadosExportados'!AR:AR,'2_LN_DadosExportados'!$V:$V,$C54,'2_LN_DadosExportados'!$A:$A,"X")+W54)/$X54)*$D54,"")</f>
        <v>0.99917548500881836</v>
      </c>
      <c r="K54" s="142">
        <f t="shared" si="11"/>
        <v>0.5897464726631394</v>
      </c>
      <c r="L54" s="142">
        <f t="shared" si="13"/>
        <v>1.0639880952380953</v>
      </c>
      <c r="M54" s="142">
        <f t="shared" si="14"/>
        <v>1.0477843915343916</v>
      </c>
      <c r="N54" s="142">
        <f t="shared" si="15"/>
        <v>1.0315784832451498</v>
      </c>
      <c r="O54" s="142">
        <f t="shared" si="16"/>
        <v>1.01538139329806</v>
      </c>
      <c r="P54" s="142">
        <f t="shared" si="17"/>
        <v>0.99917548500881836</v>
      </c>
      <c r="Q54" s="23">
        <v>75</v>
      </c>
      <c r="R54" s="27">
        <v>2675.09</v>
      </c>
      <c r="S54" s="27">
        <v>4826.25</v>
      </c>
      <c r="T54" s="27">
        <v>4752.75</v>
      </c>
      <c r="U54" s="27">
        <v>4679.24</v>
      </c>
      <c r="V54" s="27">
        <v>4605.7700000000004</v>
      </c>
      <c r="W54" s="27">
        <v>4532.26</v>
      </c>
      <c r="X54" s="28">
        <f t="shared" si="9"/>
        <v>9072</v>
      </c>
      <c r="Y54" s="29">
        <f t="shared" si="10"/>
        <v>12096</v>
      </c>
      <c r="Z54" s="30">
        <v>820942</v>
      </c>
      <c r="AA54" s="30">
        <v>1470270</v>
      </c>
      <c r="AB54" s="30">
        <v>1470270</v>
      </c>
      <c r="AC54" s="30">
        <v>1470270</v>
      </c>
      <c r="AD54" s="30">
        <v>1470270</v>
      </c>
      <c r="AE54" s="149">
        <v>1470270</v>
      </c>
      <c r="AF54" s="151" t="str">
        <f>IFERROR(VLOOKUP(C54,'2_LN_DadosExportados'!V:V,1,FALSE),"")</f>
        <v/>
      </c>
      <c r="AG54" t="str" cm="1">
        <f t="array" ref="AG54">IF(AND(ISERR(FIND("sim",INDEX('existencia de wc'!K$2:K$193,MATCH(IP_WC!C54,'existencia de wc'!B$2:B$192,0))))=FALSE,SUMPRODUCT(('2_LN_DadosExportados'!V$2:V$314=IP_WC!C54)*('2_LN_DadosExportados'!A$2:A$314="X"))&gt;0), "MOSTRAR","")</f>
        <v/>
      </c>
    </row>
    <row r="55" spans="1:33" ht="15.75" thickBot="1" x14ac:dyDescent="0.3">
      <c r="A55" s="153" t="str">
        <f t="shared" si="8"/>
        <v>OK</v>
      </c>
      <c r="B55" s="152" t="s">
        <v>782</v>
      </c>
      <c r="C55" s="19" t="s">
        <v>783</v>
      </c>
      <c r="D55" s="21">
        <v>1</v>
      </c>
      <c r="E55" s="144">
        <f>IFERROR(((SUMIFS('2_LN_DadosExportados'!AM:AM,'2_LN_DadosExportados'!$V:$V,$C55,'2_LN_DadosExportados'!$A:$A,"X")+R55)/$X55)*$D55,"")</f>
        <v>0.18102733686067018</v>
      </c>
      <c r="F55" s="144">
        <f>IFERROR(((SUMIFS('2_LN_DadosExportados'!AN:AN,'2_LN_DadosExportados'!$V:$V,$C55,'2_LN_DadosExportados'!$A:$A,"X")+S55)/$X55)*$D55,"")</f>
        <v>2.7455908289241625E-2</v>
      </c>
      <c r="G55" s="144">
        <f>IFERROR(((SUMIFS('2_LN_DadosExportados'!AO:AO,'2_LN_DadosExportados'!$V:$V,$C55,'2_LN_DadosExportados'!$A:$A,"X")+T55)/$X55)*$D55,"")</f>
        <v>2.7037037037037037E-2</v>
      </c>
      <c r="H55" s="144">
        <f>IFERROR(((SUMIFS('2_LN_DadosExportados'!AP:AP,'2_LN_DadosExportados'!$V:$V,$C55,'2_LN_DadosExportados'!$A:$A,"X")+U55)/$X55)*$D55,"")</f>
        <v>2.6618165784832452E-2</v>
      </c>
      <c r="I55" s="144">
        <f>IFERROR(((SUMIFS('2_LN_DadosExportados'!AQ:AQ,'2_LN_DadosExportados'!$V:$V,$C55,'2_LN_DadosExportados'!$A:$A,"X")+V55)/$X55)*$D55,"")</f>
        <v>2.6201499118165782E-2</v>
      </c>
      <c r="J55" s="144">
        <f>IFERROR(((SUMIFS('2_LN_DadosExportados'!AR:AR,'2_LN_DadosExportados'!$V:$V,$C55,'2_LN_DadosExportados'!$A:$A,"X")+W55)/$X55)*$D55,"")</f>
        <v>2.5782627865961201E-2</v>
      </c>
      <c r="K55" s="142">
        <f t="shared" si="11"/>
        <v>0.18102733686067018</v>
      </c>
      <c r="L55" s="142">
        <f t="shared" si="13"/>
        <v>2.7455908289241625E-2</v>
      </c>
      <c r="M55" s="142">
        <f t="shared" si="14"/>
        <v>2.7037037037037037E-2</v>
      </c>
      <c r="N55" s="142">
        <f t="shared" si="15"/>
        <v>2.6618165784832452E-2</v>
      </c>
      <c r="O55" s="142">
        <f t="shared" si="16"/>
        <v>2.6201499118165782E-2</v>
      </c>
      <c r="P55" s="142">
        <f t="shared" si="17"/>
        <v>2.5782627865961201E-2</v>
      </c>
      <c r="Q55" s="23">
        <v>75</v>
      </c>
      <c r="R55" s="27">
        <v>821.14</v>
      </c>
      <c r="S55" s="27">
        <v>124.54</v>
      </c>
      <c r="T55" s="27">
        <v>122.64</v>
      </c>
      <c r="U55" s="27">
        <v>120.74</v>
      </c>
      <c r="V55" s="27">
        <v>118.85</v>
      </c>
      <c r="W55" s="27">
        <v>116.95</v>
      </c>
      <c r="X55" s="28">
        <f t="shared" si="9"/>
        <v>4536</v>
      </c>
      <c r="Y55" s="29">
        <f t="shared" si="10"/>
        <v>6048</v>
      </c>
      <c r="Z55" s="30">
        <v>295020</v>
      </c>
      <c r="AA55" s="30">
        <v>45425</v>
      </c>
      <c r="AB55" s="30">
        <v>45425</v>
      </c>
      <c r="AC55" s="30">
        <v>45425</v>
      </c>
      <c r="AD55" s="30">
        <v>45425</v>
      </c>
      <c r="AE55" s="149">
        <v>45425</v>
      </c>
      <c r="AF55" s="151" t="str">
        <f>IFERROR(VLOOKUP(C55,'2_LN_DadosExportados'!V:V,1,FALSE),"")</f>
        <v/>
      </c>
      <c r="AG55" t="str" cm="1">
        <f t="array" ref="AG55">IF(AND(ISERR(FIND("sim",INDEX('existencia de wc'!K$2:K$193,MATCH(IP_WC!C55,'existencia de wc'!B$2:B$192,0))))=FALSE,SUMPRODUCT(('2_LN_DadosExportados'!V$2:V$314=IP_WC!C55)*('2_LN_DadosExportados'!A$2:A$314="X"))&gt;0), "MOSTRAR","")</f>
        <v/>
      </c>
    </row>
    <row r="56" spans="1:33" ht="15.75" thickBot="1" x14ac:dyDescent="0.3">
      <c r="A56" s="153" t="str">
        <f t="shared" si="8"/>
        <v>OK</v>
      </c>
      <c r="B56" s="152" t="s">
        <v>784</v>
      </c>
      <c r="C56" s="19" t="s">
        <v>785</v>
      </c>
      <c r="D56" s="21">
        <v>1</v>
      </c>
      <c r="E56" s="144">
        <f>IFERROR(((SUMIFS('2_LN_DadosExportados'!AM:AM,'2_LN_DadosExportados'!$V:$V,$C56,'2_LN_DadosExportados'!$A:$A,"X")+R56)/$X56)*$D56,"")</f>
        <v>0.16339726631393298</v>
      </c>
      <c r="F56" s="144">
        <f>IFERROR(((SUMIFS('2_LN_DadosExportados'!AN:AN,'2_LN_DadosExportados'!$V:$V,$C56,'2_LN_DadosExportados'!$A:$A,"X")+S56)/$X56)*$D56,"")</f>
        <v>0.11611552028218695</v>
      </c>
      <c r="G56" s="144">
        <f>IFERROR(((SUMIFS('2_LN_DadosExportados'!AO:AO,'2_LN_DadosExportados'!$V:$V,$C56,'2_LN_DadosExportados'!$A:$A,"X")+T56)/$X56)*$D56,"")</f>
        <v>0.114347442680776</v>
      </c>
      <c r="H56" s="144">
        <f>IFERROR(((SUMIFS('2_LN_DadosExportados'!AP:AP,'2_LN_DadosExportados'!$V:$V,$C56,'2_LN_DadosExportados'!$A:$A,"X")+U56)/$X56)*$D56,"")</f>
        <v>0.11257936507936508</v>
      </c>
      <c r="I56" s="144">
        <f>IFERROR(((SUMIFS('2_LN_DadosExportados'!AQ:AQ,'2_LN_DadosExportados'!$V:$V,$C56,'2_LN_DadosExportados'!$A:$A,"X")+V56)/$X56)*$D56,"")</f>
        <v>0.11081128747795414</v>
      </c>
      <c r="J56" s="144">
        <f>IFERROR(((SUMIFS('2_LN_DadosExportados'!AR:AR,'2_LN_DadosExportados'!$V:$V,$C56,'2_LN_DadosExportados'!$A:$A,"X")+W56)/$X56)*$D56,"")</f>
        <v>0.10904320987654322</v>
      </c>
      <c r="K56" s="142">
        <f t="shared" si="11"/>
        <v>0.16339726631393298</v>
      </c>
      <c r="L56" s="142">
        <f t="shared" si="13"/>
        <v>0.11611552028218695</v>
      </c>
      <c r="M56" s="142">
        <f t="shared" si="14"/>
        <v>0.114347442680776</v>
      </c>
      <c r="N56" s="142">
        <f t="shared" si="15"/>
        <v>0.11257936507936508</v>
      </c>
      <c r="O56" s="142">
        <f t="shared" si="16"/>
        <v>0.11081128747795414</v>
      </c>
      <c r="P56" s="142">
        <f t="shared" si="17"/>
        <v>0.10904320987654322</v>
      </c>
      <c r="Q56" s="23">
        <v>75</v>
      </c>
      <c r="R56" s="27">
        <v>741.17</v>
      </c>
      <c r="S56" s="27">
        <v>526.70000000000005</v>
      </c>
      <c r="T56" s="27">
        <v>518.67999999999995</v>
      </c>
      <c r="U56" s="27">
        <v>510.66</v>
      </c>
      <c r="V56" s="27">
        <v>502.64</v>
      </c>
      <c r="W56" s="27">
        <v>494.62</v>
      </c>
      <c r="X56" s="28">
        <f t="shared" si="9"/>
        <v>4536</v>
      </c>
      <c r="Y56" s="29">
        <f t="shared" si="10"/>
        <v>6048</v>
      </c>
      <c r="Z56" s="30">
        <v>106728</v>
      </c>
      <c r="AA56" s="30">
        <v>77000</v>
      </c>
      <c r="AB56" s="30">
        <v>77000</v>
      </c>
      <c r="AC56" s="30">
        <v>77000</v>
      </c>
      <c r="AD56" s="30">
        <v>77000</v>
      </c>
      <c r="AE56" s="149">
        <v>77000</v>
      </c>
      <c r="AF56" s="151" t="str">
        <f>IFERROR(VLOOKUP(C56,'2_LN_DadosExportados'!V:V,1,FALSE),"")</f>
        <v/>
      </c>
      <c r="AG56" t="str" cm="1">
        <f t="array" ref="AG56">IF(AND(ISERR(FIND("sim",INDEX('existencia de wc'!K$2:K$193,MATCH(IP_WC!C56,'existencia de wc'!B$2:B$192,0))))=FALSE,SUMPRODUCT(('2_LN_DadosExportados'!V$2:V$314=IP_WC!C56)*('2_LN_DadosExportados'!A$2:A$314="X"))&gt;0), "MOSTRAR","")</f>
        <v/>
      </c>
    </row>
    <row r="57" spans="1:33" ht="15.75" thickBot="1" x14ac:dyDescent="0.3">
      <c r="A57" s="153" t="str">
        <f t="shared" si="8"/>
        <v>OK</v>
      </c>
      <c r="B57" s="152" t="s">
        <v>786</v>
      </c>
      <c r="C57" s="19" t="s">
        <v>100</v>
      </c>
      <c r="D57" s="21">
        <v>1</v>
      </c>
      <c r="E57" s="144">
        <f>IFERROR(((SUMIFS('2_LN_DadosExportados'!AM:AM,'2_LN_DadosExportados'!$V:$V,$C57,'2_LN_DadosExportados'!$A:$A,"X")+R57)/$X57)*$D57,"")</f>
        <v>4.8456790123456795E-3</v>
      </c>
      <c r="F57" s="144">
        <f>IFERROR(((SUMIFS('2_LN_DadosExportados'!AN:AN,'2_LN_DadosExportados'!$V:$V,$C57,'2_LN_DadosExportados'!$A:$A,"X")+S57)/$X57)*$D57,"")</f>
        <v>7.5000000000000006E-3</v>
      </c>
      <c r="G57" s="144">
        <f>IFERROR(((SUMIFS('2_LN_DadosExportados'!AO:AO,'2_LN_DadosExportados'!$V:$V,$C57,'2_LN_DadosExportados'!$A:$A,"X")+T57)/$X57)*$D57,"")</f>
        <v>0.34585978835978837</v>
      </c>
      <c r="H57" s="144">
        <f>IFERROR(((SUMIFS('2_LN_DadosExportados'!AP:AP,'2_LN_DadosExportados'!$V:$V,$C57,'2_LN_DadosExportados'!$A:$A,"X")+U57)/$X57)*$D57,"")</f>
        <v>0.45343033509700181</v>
      </c>
      <c r="I57" s="144">
        <f>IFERROR(((SUMIFS('2_LN_DadosExportados'!AQ:AQ,'2_LN_DadosExportados'!$V:$V,$C57,'2_LN_DadosExportados'!$A:$A,"X")+V57)/$X57)*$D57,"")</f>
        <v>0.55745590828924163</v>
      </c>
      <c r="J57" s="144">
        <f>IFERROR(((SUMIFS('2_LN_DadosExportados'!AR:AR,'2_LN_DadosExportados'!$V:$V,$C57,'2_LN_DadosExportados'!$A:$A,"X")+W57)/$X57)*$D57,"")</f>
        <v>0.65793209876543213</v>
      </c>
      <c r="K57" s="142">
        <f t="shared" si="11"/>
        <v>4.8456790123456795E-3</v>
      </c>
      <c r="L57" s="142">
        <f t="shared" si="13"/>
        <v>7.5000000000000006E-3</v>
      </c>
      <c r="M57" s="142">
        <f t="shared" si="14"/>
        <v>0.34585978835978837</v>
      </c>
      <c r="N57" s="142">
        <f t="shared" si="15"/>
        <v>0.45343033509700181</v>
      </c>
      <c r="O57" s="142">
        <f t="shared" si="16"/>
        <v>0.55745590828924163</v>
      </c>
      <c r="P57" s="142">
        <f t="shared" si="17"/>
        <v>0.65793209876543213</v>
      </c>
      <c r="Q57" s="23">
        <v>75</v>
      </c>
      <c r="R57" s="27">
        <v>21.98</v>
      </c>
      <c r="S57" s="27">
        <v>34.020000000000003</v>
      </c>
      <c r="T57" s="27">
        <v>1568.82</v>
      </c>
      <c r="U57" s="27">
        <v>2056.7600000000002</v>
      </c>
      <c r="V57" s="27">
        <v>2528.62</v>
      </c>
      <c r="W57" s="27">
        <v>2984.38</v>
      </c>
      <c r="X57" s="28">
        <f t="shared" si="9"/>
        <v>4536</v>
      </c>
      <c r="Y57" s="29">
        <f t="shared" si="10"/>
        <v>6048</v>
      </c>
      <c r="Z57" s="30">
        <v>2000</v>
      </c>
      <c r="AA57" s="30">
        <v>3668</v>
      </c>
      <c r="AB57" s="30">
        <v>179358</v>
      </c>
      <c r="AC57" s="30">
        <v>238892</v>
      </c>
      <c r="AD57" s="30">
        <v>298426</v>
      </c>
      <c r="AE57" s="149">
        <v>357959</v>
      </c>
      <c r="AF57" s="151" t="str">
        <f>IFERROR(VLOOKUP(C57,'2_LN_DadosExportados'!V:V,1,FALSE),"")</f>
        <v/>
      </c>
      <c r="AG57" t="str" cm="1">
        <f t="array" ref="AG57">IF(AND(ISERR(FIND("sim",INDEX('existencia de wc'!K$2:K$193,MATCH(IP_WC!C57,'existencia de wc'!B$2:B$192,0))))=FALSE,SUMPRODUCT(('2_LN_DadosExportados'!V$2:V$314=IP_WC!C57)*('2_LN_DadosExportados'!A$2:A$314="X"))&gt;0), "MOSTRAR","")</f>
        <v/>
      </c>
    </row>
    <row r="58" spans="1:33" ht="15.75" thickBot="1" x14ac:dyDescent="0.3">
      <c r="A58" s="153" t="str">
        <f t="shared" si="8"/>
        <v>OK</v>
      </c>
      <c r="B58" s="152" t="s">
        <v>787</v>
      </c>
      <c r="C58" s="19" t="s">
        <v>49</v>
      </c>
      <c r="D58" s="21">
        <v>4</v>
      </c>
      <c r="E58" s="144">
        <f>IFERROR(((SUMIFS('2_LN_DadosExportados'!AM:AM,'2_LN_DadosExportados'!$V:$V,$C58,'2_LN_DadosExportados'!$A:$A,"X")+R58)/$X58)*$D58,"")</f>
        <v>0.83815586419753085</v>
      </c>
      <c r="F58" s="144">
        <f>IFERROR(((SUMIFS('2_LN_DadosExportados'!AN:AN,'2_LN_DadosExportados'!$V:$V,$C58,'2_LN_DadosExportados'!$A:$A,"X")+S58)/$X58)*$D58,"")</f>
        <v>0.92864124044679597</v>
      </c>
      <c r="G58" s="144">
        <f>IFERROR(((SUMIFS('2_LN_DadosExportados'!AO:AO,'2_LN_DadosExportados'!$V:$V,$C58,'2_LN_DadosExportados'!$A:$A,"X")+T58)/$X58)*$D58,"")</f>
        <v>0.93789131393298064</v>
      </c>
      <c r="H58" s="144">
        <f>IFERROR(((SUMIFS('2_LN_DadosExportados'!AP:AP,'2_LN_DadosExportados'!$V:$V,$C58,'2_LN_DadosExportados'!$A:$A,"X")+U58)/$X58)*$D58,"")</f>
        <v>0.98027814520870082</v>
      </c>
      <c r="I58" s="144">
        <f>IFERROR(((SUMIFS('2_LN_DadosExportados'!AQ:AQ,'2_LN_DadosExportados'!$V:$V,$C58,'2_LN_DadosExportados'!$A:$A,"X")+V58)/$X58)*$D58,"")</f>
        <v>1.0200562169312168</v>
      </c>
      <c r="J58" s="144">
        <f>IFERROR(((SUMIFS('2_LN_DadosExportados'!AR:AR,'2_LN_DadosExportados'!$V:$V,$C58,'2_LN_DadosExportados'!$A:$A,"X")+W58)/$X58)*$D58,"")</f>
        <v>1.0228229717813051</v>
      </c>
      <c r="K58" s="142">
        <f t="shared" si="11"/>
        <v>0.83815586419753085</v>
      </c>
      <c r="L58" s="142">
        <f t="shared" si="13"/>
        <v>0.92864124044679597</v>
      </c>
      <c r="M58" s="142">
        <f t="shared" si="14"/>
        <v>0.93789131393298064</v>
      </c>
      <c r="N58" s="142">
        <f t="shared" si="15"/>
        <v>0.98027814520870082</v>
      </c>
      <c r="O58" s="142">
        <f t="shared" si="16"/>
        <v>1.0200562169312168</v>
      </c>
      <c r="P58" s="142">
        <f t="shared" si="17"/>
        <v>1.0228229717813051</v>
      </c>
      <c r="Q58" s="23">
        <v>90</v>
      </c>
      <c r="R58" s="27">
        <v>4562.25</v>
      </c>
      <c r="S58" s="27">
        <v>5054.78</v>
      </c>
      <c r="T58" s="27">
        <v>5105.13</v>
      </c>
      <c r="U58" s="27">
        <v>5335.85</v>
      </c>
      <c r="V58" s="27">
        <v>5552.37</v>
      </c>
      <c r="W58" s="27">
        <v>5567.43</v>
      </c>
      <c r="X58" s="28">
        <f t="shared" si="9"/>
        <v>21772.799999999999</v>
      </c>
      <c r="Y58" s="29">
        <f t="shared" si="10"/>
        <v>24192</v>
      </c>
      <c r="Z58" s="30">
        <v>17285097.52</v>
      </c>
      <c r="AA58" s="30">
        <v>14368871</v>
      </c>
      <c r="AB58" s="30">
        <v>14577078</v>
      </c>
      <c r="AC58" s="30">
        <v>14924532</v>
      </c>
      <c r="AD58" s="30">
        <v>15270835</v>
      </c>
      <c r="AE58" s="149">
        <v>15430967</v>
      </c>
      <c r="AF58" s="151" t="str">
        <f>IFERROR(VLOOKUP(C58,'2_LN_DadosExportados'!V:V,1,FALSE),"")</f>
        <v>WC - Oleamento</v>
      </c>
      <c r="AG58" t="str" cm="1">
        <f t="array" ref="AG58">IF(AND(ISERR(FIND("sim",INDEX('existencia de wc'!K$2:K$193,MATCH(IP_WC!C58,'existencia de wc'!B$2:B$192,0))))=FALSE,SUMPRODUCT(('2_LN_DadosExportados'!V$2:V$314=IP_WC!C58)*('2_LN_DadosExportados'!A$2:A$314="X"))&gt;0), "MOSTRAR","")</f>
        <v/>
      </c>
    </row>
    <row r="59" spans="1:33" ht="15.75" thickBot="1" x14ac:dyDescent="0.3">
      <c r="A59" s="153" t="str">
        <f t="shared" si="8"/>
        <v>OK</v>
      </c>
      <c r="B59" s="152" t="s">
        <v>788</v>
      </c>
      <c r="C59" s="19" t="s">
        <v>125</v>
      </c>
      <c r="D59" s="21">
        <v>1</v>
      </c>
      <c r="E59" s="144">
        <f>IFERROR(((SUMIFS('2_LN_DadosExportados'!AM:AM,'2_LN_DadosExportados'!$V:$V,$C59,'2_LN_DadosExportados'!$A:$A,"X")+R59)/$X59)*$D59,"")</f>
        <v>0.24711015579071136</v>
      </c>
      <c r="F59" s="144">
        <f>IFERROR(((SUMIFS('2_LN_DadosExportados'!AN:AN,'2_LN_DadosExportados'!$V:$V,$C59,'2_LN_DadosExportados'!$A:$A,"X")+S59)/$X59)*$D59,"")</f>
        <v>0.22107583774250439</v>
      </c>
      <c r="G59" s="144">
        <f>IFERROR(((SUMIFS('2_LN_DadosExportados'!AO:AO,'2_LN_DadosExportados'!$V:$V,$C59,'2_LN_DadosExportados'!$A:$A,"X")+T59)/$X59)*$D59,"")</f>
        <v>0.21739234273956495</v>
      </c>
      <c r="H59" s="144">
        <f>IFERROR(((SUMIFS('2_LN_DadosExportados'!AP:AP,'2_LN_DadosExportados'!$V:$V,$C59,'2_LN_DadosExportados'!$A:$A,"X")+U59)/$X59)*$D59,"")</f>
        <v>0.21371803350970017</v>
      </c>
      <c r="I59" s="144">
        <f>IFERROR(((SUMIFS('2_LN_DadosExportados'!AQ:AQ,'2_LN_DadosExportados'!$V:$V,$C59,'2_LN_DadosExportados'!$A:$A,"X")+V59)/$X59)*$D59,"")</f>
        <v>0.21004556143445033</v>
      </c>
      <c r="J59" s="144">
        <f>IFERROR(((SUMIFS('2_LN_DadosExportados'!AR:AR,'2_LN_DadosExportados'!$V:$V,$C59,'2_LN_DadosExportados'!$A:$A,"X")+W59)/$X59)*$D59,"")</f>
        <v>0.20654578189300413</v>
      </c>
      <c r="K59" s="142">
        <f t="shared" si="11"/>
        <v>0.24711015579071136</v>
      </c>
      <c r="L59" s="142">
        <f t="shared" si="13"/>
        <v>0.22107583774250439</v>
      </c>
      <c r="M59" s="142">
        <f t="shared" si="14"/>
        <v>0.21739234273956495</v>
      </c>
      <c r="N59" s="142">
        <f t="shared" si="15"/>
        <v>0.21371803350970017</v>
      </c>
      <c r="O59" s="142">
        <f t="shared" si="16"/>
        <v>0.21004556143445033</v>
      </c>
      <c r="P59" s="142">
        <f t="shared" si="17"/>
        <v>0.20654578189300413</v>
      </c>
      <c r="Q59" s="23">
        <v>90</v>
      </c>
      <c r="R59" s="27">
        <v>1345.07</v>
      </c>
      <c r="S59" s="27">
        <v>1203.3599999999999</v>
      </c>
      <c r="T59" s="27">
        <v>1183.31</v>
      </c>
      <c r="U59" s="27">
        <v>1163.31</v>
      </c>
      <c r="V59" s="27">
        <v>1143.32</v>
      </c>
      <c r="W59" s="27">
        <v>1124.27</v>
      </c>
      <c r="X59" s="28">
        <f t="shared" si="9"/>
        <v>5443.2</v>
      </c>
      <c r="Y59" s="29">
        <f t="shared" si="10"/>
        <v>6048</v>
      </c>
      <c r="Z59" s="30">
        <v>14036722</v>
      </c>
      <c r="AA59" s="30">
        <v>8397478</v>
      </c>
      <c r="AB59" s="30">
        <v>8290058</v>
      </c>
      <c r="AC59" s="30">
        <v>8182639</v>
      </c>
      <c r="AD59" s="30">
        <v>8075219</v>
      </c>
      <c r="AE59" s="149">
        <v>8021509</v>
      </c>
      <c r="AF59" s="151" t="str">
        <f>IFERROR(VLOOKUP(C59,'2_LN_DadosExportados'!V:V,1,FALSE),"")</f>
        <v/>
      </c>
      <c r="AG59" t="str" cm="1">
        <f t="array" ref="AG59">IF(AND(ISERR(FIND("sim",INDEX('existencia de wc'!K$2:K$193,MATCH(IP_WC!C59,'existencia de wc'!B$2:B$192,0))))=FALSE,SUMPRODUCT(('2_LN_DadosExportados'!V$2:V$314=IP_WC!C59)*('2_LN_DadosExportados'!A$2:A$314="X"))&gt;0), "MOSTRAR","")</f>
        <v/>
      </c>
    </row>
    <row r="60" spans="1:33" ht="15.75" thickBot="1" x14ac:dyDescent="0.3">
      <c r="A60" s="153" t="str">
        <f t="shared" si="8"/>
        <v>OK</v>
      </c>
      <c r="B60" s="152" t="s">
        <v>789</v>
      </c>
      <c r="C60" s="19" t="s">
        <v>84</v>
      </c>
      <c r="D60" s="21">
        <v>1</v>
      </c>
      <c r="E60" s="144">
        <f>IFERROR(((SUMIFS('2_LN_DadosExportados'!AM:AM,'2_LN_DadosExportados'!$V:$V,$C60,'2_LN_DadosExportados'!$A:$A,"X")+R60)/$X60)*$D60,"")</f>
        <v>0.36500404174015283</v>
      </c>
      <c r="F60" s="144">
        <f>IFERROR(((SUMIFS('2_LN_DadosExportados'!AN:AN,'2_LN_DadosExportados'!$V:$V,$C60,'2_LN_DadosExportados'!$A:$A,"X")+S60)/$X60)*$D60,"")</f>
        <v>0.44767048794826581</v>
      </c>
      <c r="G60" s="144">
        <f>IFERROR(((SUMIFS('2_LN_DadosExportados'!AO:AO,'2_LN_DadosExportados'!$V:$V,$C60,'2_LN_DadosExportados'!$A:$A,"X")+T60)/$X60)*$D60,"")</f>
        <v>0.43461566725455614</v>
      </c>
      <c r="H60" s="144">
        <f>IFERROR(((SUMIFS('2_LN_DadosExportados'!AP:AP,'2_LN_DadosExportados'!$V:$V,$C60,'2_LN_DadosExportados'!$A:$A,"X")+U60)/$X60)*$D60,"")</f>
        <v>0.43526050852439746</v>
      </c>
      <c r="I60" s="144">
        <f>IFERROR(((SUMIFS('2_LN_DadosExportados'!AQ:AQ,'2_LN_DadosExportados'!$V:$V,$C60,'2_LN_DadosExportados'!$A:$A,"X")+V60)/$X60)*$D60,"")</f>
        <v>0.43603762492651382</v>
      </c>
      <c r="J60" s="144">
        <f>IFERROR(((SUMIFS('2_LN_DadosExportados'!AR:AR,'2_LN_DadosExportados'!$V:$V,$C60,'2_LN_DadosExportados'!$A:$A,"X")+W60)/$X60)*$D60,"")</f>
        <v>0.43695620223398002</v>
      </c>
      <c r="K60" s="142">
        <f t="shared" si="11"/>
        <v>0.36500404174015283</v>
      </c>
      <c r="L60" s="142">
        <f t="shared" si="13"/>
        <v>0.44767048794826581</v>
      </c>
      <c r="M60" s="142">
        <f t="shared" si="14"/>
        <v>0.43461566725455614</v>
      </c>
      <c r="N60" s="142">
        <f t="shared" si="15"/>
        <v>0.43526050852439746</v>
      </c>
      <c r="O60" s="142">
        <f t="shared" si="16"/>
        <v>0.43603762492651382</v>
      </c>
      <c r="P60" s="142">
        <f t="shared" si="17"/>
        <v>0.43695620223398002</v>
      </c>
      <c r="Q60" s="23">
        <v>90</v>
      </c>
      <c r="R60" s="27">
        <v>1986.79</v>
      </c>
      <c r="S60" s="27">
        <v>2436.7600000000002</v>
      </c>
      <c r="T60" s="27">
        <v>2365.6999999999998</v>
      </c>
      <c r="U60" s="27">
        <v>2369.21</v>
      </c>
      <c r="V60" s="27">
        <v>2373.44</v>
      </c>
      <c r="W60" s="27">
        <v>2378.44</v>
      </c>
      <c r="X60" s="28">
        <f t="shared" si="9"/>
        <v>5443.2</v>
      </c>
      <c r="Y60" s="29">
        <f t="shared" si="10"/>
        <v>6048</v>
      </c>
      <c r="Z60" s="30">
        <v>3872332.05</v>
      </c>
      <c r="AA60" s="30">
        <v>4866792</v>
      </c>
      <c r="AB60" s="30">
        <v>4962792</v>
      </c>
      <c r="AC60" s="30">
        <v>5088792</v>
      </c>
      <c r="AD60" s="30">
        <v>5221092</v>
      </c>
      <c r="AE60" s="149">
        <v>5360008</v>
      </c>
      <c r="AF60" s="151" t="str">
        <f>IFERROR(VLOOKUP(C60,'2_LN_DadosExportados'!V:V,1,FALSE),"")</f>
        <v>WC - Vib Rosler e Otocarva</v>
      </c>
      <c r="AG60" t="str" cm="1">
        <f t="array" ref="AG60">IF(AND(ISERR(FIND("sim",INDEX('existencia de wc'!K$2:K$193,MATCH(IP_WC!C60,'existencia de wc'!B$2:B$192,0))))=FALSE,SUMPRODUCT(('2_LN_DadosExportados'!V$2:V$314=IP_WC!C60)*('2_LN_DadosExportados'!A$2:A$314="X"))&gt;0), "MOSTRAR","")</f>
        <v/>
      </c>
    </row>
    <row r="61" spans="1:33" ht="15.75" thickBot="1" x14ac:dyDescent="0.3">
      <c r="A61" s="153" t="str">
        <f t="shared" si="8"/>
        <v>OK</v>
      </c>
      <c r="B61" s="152" t="s">
        <v>790</v>
      </c>
      <c r="C61" s="19" t="s">
        <v>119</v>
      </c>
      <c r="D61" s="21">
        <v>1</v>
      </c>
      <c r="E61" s="144">
        <f>IFERROR(((SUMIFS('2_LN_DadosExportados'!AM:AM,'2_LN_DadosExportados'!$V:$V,$C61,'2_LN_DadosExportados'!$A:$A,"X")+R61)/$X61)*$D61,"")</f>
        <v>1.8077601410934747E-2</v>
      </c>
      <c r="F61" s="144">
        <f>IFERROR(((SUMIFS('2_LN_DadosExportados'!AN:AN,'2_LN_DadosExportados'!$V:$V,$C61,'2_LN_DadosExportados'!$A:$A,"X")+S61)/$X61)*$D61,"")</f>
        <v>1.2692901234567903E-2</v>
      </c>
      <c r="G61" s="144">
        <f>IFERROR(((SUMIFS('2_LN_DadosExportados'!AO:AO,'2_LN_DadosExportados'!$V:$V,$C61,'2_LN_DadosExportados'!$A:$A,"X")+T61)/$X61)*$D61,"")</f>
        <v>1.2500000000000002E-2</v>
      </c>
      <c r="H61" s="144">
        <f>IFERROR(((SUMIFS('2_LN_DadosExportados'!AP:AP,'2_LN_DadosExportados'!$V:$V,$C61,'2_LN_DadosExportados'!$A:$A,"X")+U61)/$X61)*$D61,"")</f>
        <v>1.2307098765432099E-2</v>
      </c>
      <c r="I61" s="144">
        <f>IFERROR(((SUMIFS('2_LN_DadosExportados'!AQ:AQ,'2_LN_DadosExportados'!$V:$V,$C61,'2_LN_DadosExportados'!$A:$A,"X")+V61)/$X61)*$D61,"")</f>
        <v>1.2112360376249267E-2</v>
      </c>
      <c r="J61" s="144">
        <f>IFERROR(((SUMIFS('2_LN_DadosExportados'!AR:AR,'2_LN_DadosExportados'!$V:$V,$C61,'2_LN_DadosExportados'!$A:$A,"X")+W61)/$X61)*$D61,"")</f>
        <v>1.1919459141681363E-2</v>
      </c>
      <c r="K61" s="142">
        <f t="shared" si="11"/>
        <v>1.8077601410934747E-2</v>
      </c>
      <c r="L61" s="142">
        <f t="shared" si="13"/>
        <v>1.2692901234567903E-2</v>
      </c>
      <c r="M61" s="142">
        <f t="shared" si="14"/>
        <v>1.2500000000000002E-2</v>
      </c>
      <c r="N61" s="142">
        <f t="shared" si="15"/>
        <v>1.2307098765432099E-2</v>
      </c>
      <c r="O61" s="142">
        <f t="shared" si="16"/>
        <v>1.2112360376249267E-2</v>
      </c>
      <c r="P61" s="142">
        <f t="shared" si="17"/>
        <v>1.1919459141681363E-2</v>
      </c>
      <c r="Q61" s="23">
        <v>90</v>
      </c>
      <c r="R61" s="27">
        <v>98.4</v>
      </c>
      <c r="S61" s="27">
        <v>69.09</v>
      </c>
      <c r="T61" s="27">
        <v>68.040000000000006</v>
      </c>
      <c r="U61" s="27">
        <v>66.989999999999995</v>
      </c>
      <c r="V61" s="27">
        <v>65.930000000000007</v>
      </c>
      <c r="W61" s="27">
        <v>64.88</v>
      </c>
      <c r="X61" s="28">
        <f t="shared" si="9"/>
        <v>5443.2</v>
      </c>
      <c r="Y61" s="29">
        <f t="shared" si="10"/>
        <v>6048</v>
      </c>
      <c r="Z61" s="30">
        <v>373934</v>
      </c>
      <c r="AA61" s="30">
        <v>266549</v>
      </c>
      <c r="AB61" s="30">
        <v>266549</v>
      </c>
      <c r="AC61" s="30">
        <v>266549</v>
      </c>
      <c r="AD61" s="30">
        <v>266549</v>
      </c>
      <c r="AE61" s="149">
        <v>266549</v>
      </c>
      <c r="AF61" s="151" t="str">
        <f>IFERROR(VLOOKUP(C61,'2_LN_DadosExportados'!V:V,1,FALSE),"")</f>
        <v/>
      </c>
      <c r="AG61" t="str" cm="1">
        <f t="array" ref="AG61">IF(AND(ISERR(FIND("sim",INDEX('existencia de wc'!K$2:K$193,MATCH(IP_WC!C61,'existencia de wc'!B$2:B$192,0))))=FALSE,SUMPRODUCT(('2_LN_DadosExportados'!V$2:V$314=IP_WC!C61)*('2_LN_DadosExportados'!A$2:A$314="X"))&gt;0), "MOSTRAR","")</f>
        <v/>
      </c>
    </row>
    <row r="62" spans="1:33" ht="15.75" thickBot="1" x14ac:dyDescent="0.3">
      <c r="A62" s="153" t="str">
        <f t="shared" si="8"/>
        <v>OK</v>
      </c>
      <c r="B62" s="152" t="s">
        <v>791</v>
      </c>
      <c r="C62" s="19" t="s">
        <v>792</v>
      </c>
      <c r="D62" s="21">
        <v>1</v>
      </c>
      <c r="E62" s="144">
        <f>IFERROR(((SUMIFS('2_LN_DadosExportados'!AM:AM,'2_LN_DadosExportados'!$V:$V,$C62,'2_LN_DadosExportados'!$A:$A,"X")+R62)/$X62)*$D62,"")</f>
        <v>0.2631485155790711</v>
      </c>
      <c r="F62" s="144">
        <f>IFERROR(((SUMIFS('2_LN_DadosExportados'!AN:AN,'2_LN_DadosExportados'!$V:$V,$C62,'2_LN_DadosExportados'!$A:$A,"X")+S62)/$X62)*$D62,"")</f>
        <v>0.2710409318048207</v>
      </c>
      <c r="G62" s="144">
        <f>IFERROR(((SUMIFS('2_LN_DadosExportados'!AO:AO,'2_LN_DadosExportados'!$V:$V,$C62,'2_LN_DadosExportados'!$A:$A,"X")+T62)/$X62)*$D62,"")</f>
        <v>0.26691468253968254</v>
      </c>
      <c r="H62" s="144">
        <f>IFERROR(((SUMIFS('2_LN_DadosExportados'!AP:AP,'2_LN_DadosExportados'!$V:$V,$C62,'2_LN_DadosExportados'!$A:$A,"X")+U62)/$X62)*$D62,"")</f>
        <v>0.26278475896531456</v>
      </c>
      <c r="I62" s="144">
        <f>IFERROR(((SUMIFS('2_LN_DadosExportados'!AQ:AQ,'2_LN_DadosExportados'!$V:$V,$C62,'2_LN_DadosExportados'!$A:$A,"X")+V62)/$X62)*$D62,"")</f>
        <v>0.25865667254556146</v>
      </c>
      <c r="J62" s="144">
        <f>IFERROR(((SUMIFS('2_LN_DadosExportados'!AR:AR,'2_LN_DadosExportados'!$V:$V,$C62,'2_LN_DadosExportados'!$A:$A,"X")+W62)/$X62)*$D62,"")</f>
        <v>0.25452858612580836</v>
      </c>
      <c r="K62" s="142">
        <f t="shared" si="11"/>
        <v>0.2631485155790711</v>
      </c>
      <c r="L62" s="142">
        <f t="shared" si="13"/>
        <v>0.2710409318048207</v>
      </c>
      <c r="M62" s="142">
        <f t="shared" si="14"/>
        <v>0.26691468253968254</v>
      </c>
      <c r="N62" s="142">
        <f t="shared" si="15"/>
        <v>0.26278475896531456</v>
      </c>
      <c r="O62" s="142">
        <f t="shared" si="16"/>
        <v>0.25865667254556146</v>
      </c>
      <c r="P62" s="142">
        <f t="shared" si="17"/>
        <v>0.25452858612580836</v>
      </c>
      <c r="Q62" s="23">
        <v>90</v>
      </c>
      <c r="R62" s="27">
        <v>1432.37</v>
      </c>
      <c r="S62" s="27">
        <v>1475.33</v>
      </c>
      <c r="T62" s="27">
        <v>1452.87</v>
      </c>
      <c r="U62" s="27">
        <v>1430.39</v>
      </c>
      <c r="V62" s="27">
        <v>1407.92</v>
      </c>
      <c r="W62" s="27">
        <v>1385.45</v>
      </c>
      <c r="X62" s="28">
        <f t="shared" si="9"/>
        <v>5443.2</v>
      </c>
      <c r="Y62" s="29">
        <f t="shared" si="10"/>
        <v>6048</v>
      </c>
      <c r="Z62" s="30">
        <v>3217339</v>
      </c>
      <c r="AA62" s="30">
        <v>3076193</v>
      </c>
      <c r="AB62" s="30">
        <v>3076193</v>
      </c>
      <c r="AC62" s="30">
        <v>3076193</v>
      </c>
      <c r="AD62" s="30">
        <v>3076193</v>
      </c>
      <c r="AE62" s="149">
        <v>3076193</v>
      </c>
      <c r="AF62" s="151" t="str">
        <f>IFERROR(VLOOKUP(C62,'2_LN_DadosExportados'!V:V,1,FALSE),"")</f>
        <v/>
      </c>
      <c r="AG62" t="str" cm="1">
        <f t="array" ref="AG62">IF(AND(ISERR(FIND("sim",INDEX('existencia de wc'!K$2:K$193,MATCH(IP_WC!C62,'existencia de wc'!B$2:B$192,0))))=FALSE,SUMPRODUCT(('2_LN_DadosExportados'!V$2:V$314=IP_WC!C62)*('2_LN_DadosExportados'!A$2:A$314="X"))&gt;0), "MOSTRAR","")</f>
        <v/>
      </c>
    </row>
    <row r="63" spans="1:33" ht="15.75" thickBot="1" x14ac:dyDescent="0.3">
      <c r="A63" s="153" t="str">
        <f t="shared" si="8"/>
        <v>OK</v>
      </c>
      <c r="B63" s="152" t="s">
        <v>793</v>
      </c>
      <c r="C63" s="19" t="s">
        <v>794</v>
      </c>
      <c r="D63" s="21">
        <v>1</v>
      </c>
      <c r="E63" s="144">
        <f>IFERROR(((SUMIFS('2_LN_DadosExportados'!AM:AM,'2_LN_DadosExportados'!$V:$V,$C63,'2_LN_DadosExportados'!$A:$A,"X")+R63)/$X63)*$D63,"")</f>
        <v>3.7863756613756613E-2</v>
      </c>
      <c r="F63" s="144">
        <f>IFERROR(((SUMIFS('2_LN_DadosExportados'!AN:AN,'2_LN_DadosExportados'!$V:$V,$C63,'2_LN_DadosExportados'!$A:$A,"X")+S63)/$X63)*$D63,"")</f>
        <v>3.5535325241207595E-2</v>
      </c>
      <c r="G63" s="144">
        <f>IFERROR(((SUMIFS('2_LN_DadosExportados'!AO:AO,'2_LN_DadosExportados'!$V:$V,$C63,'2_LN_DadosExportados'!$A:$A,"X")+T63)/$X63)*$D63,"")</f>
        <v>3.4994553376906316E-2</v>
      </c>
      <c r="H63" s="144">
        <f>IFERROR(((SUMIFS('2_LN_DadosExportados'!AP:AP,'2_LN_DadosExportados'!$V:$V,$C63,'2_LN_DadosExportados'!$A:$A,"X")+U63)/$X63)*$D63,"")</f>
        <v>3.4451836290071584E-2</v>
      </c>
      <c r="I63" s="144">
        <f>IFERROR(((SUMIFS('2_LN_DadosExportados'!AQ:AQ,'2_LN_DadosExportados'!$V:$V,$C63,'2_LN_DadosExportados'!$A:$A,"X")+V63)/$X63)*$D63,"")</f>
        <v>3.3911064425770313E-2</v>
      </c>
      <c r="J63" s="144">
        <f>IFERROR(((SUMIFS('2_LN_DadosExportados'!AR:AR,'2_LN_DadosExportados'!$V:$V,$C63,'2_LN_DadosExportados'!$A:$A,"X")+W63)/$X63)*$D63,"")</f>
        <v>3.3370292561469034E-2</v>
      </c>
      <c r="K63" s="142">
        <f t="shared" si="11"/>
        <v>3.7863756613756613E-2</v>
      </c>
      <c r="L63" s="142">
        <f t="shared" si="13"/>
        <v>3.5535325241207595E-2</v>
      </c>
      <c r="M63" s="142">
        <f t="shared" si="14"/>
        <v>3.4994553376906316E-2</v>
      </c>
      <c r="N63" s="142">
        <f t="shared" si="15"/>
        <v>3.4451836290071584E-2</v>
      </c>
      <c r="O63" s="142">
        <f t="shared" si="16"/>
        <v>3.3911064425770313E-2</v>
      </c>
      <c r="P63" s="142">
        <f t="shared" si="17"/>
        <v>3.3370292561469034E-2</v>
      </c>
      <c r="Q63" s="23">
        <v>85</v>
      </c>
      <c r="R63" s="27">
        <v>194.65</v>
      </c>
      <c r="S63" s="27">
        <v>182.68</v>
      </c>
      <c r="T63" s="27">
        <v>179.9</v>
      </c>
      <c r="U63" s="27">
        <v>177.11</v>
      </c>
      <c r="V63" s="27">
        <v>174.33</v>
      </c>
      <c r="W63" s="27">
        <v>171.55</v>
      </c>
      <c r="X63" s="28">
        <f t="shared" si="9"/>
        <v>5140.8</v>
      </c>
      <c r="Y63" s="29">
        <f t="shared" si="10"/>
        <v>6048</v>
      </c>
      <c r="Z63" s="30">
        <v>350369</v>
      </c>
      <c r="AA63" s="30">
        <v>333831</v>
      </c>
      <c r="AB63" s="30">
        <v>333831</v>
      </c>
      <c r="AC63" s="30">
        <v>333831</v>
      </c>
      <c r="AD63" s="30">
        <v>333831</v>
      </c>
      <c r="AE63" s="149">
        <v>333831</v>
      </c>
      <c r="AF63" s="151" t="str">
        <f>IFERROR(VLOOKUP(C63,'2_LN_DadosExportados'!V:V,1,FALSE),"")</f>
        <v/>
      </c>
      <c r="AG63" t="str" cm="1">
        <f t="array" ref="AG63">IF(AND(ISERR(FIND("sim",INDEX('existencia de wc'!K$2:K$193,MATCH(IP_WC!C63,'existencia de wc'!B$2:B$192,0))))=FALSE,SUMPRODUCT(('2_LN_DadosExportados'!V$2:V$314=IP_WC!C63)*('2_LN_DadosExportados'!A$2:A$314="X"))&gt;0), "MOSTRAR","")</f>
        <v/>
      </c>
    </row>
    <row r="64" spans="1:33" ht="15.75" thickBot="1" x14ac:dyDescent="0.3">
      <c r="A64" s="153" t="str">
        <f t="shared" si="8"/>
        <v>INVEST</v>
      </c>
      <c r="B64" s="152" t="s">
        <v>795</v>
      </c>
      <c r="C64" s="19" t="s">
        <v>796</v>
      </c>
      <c r="D64" s="21">
        <v>0</v>
      </c>
      <c r="E64" s="144" t="str">
        <f>IFERROR(((SUMIFS('2_LN_DadosExportados'!AM:AM,'2_LN_DadosExportados'!$V:$V,$C64,'2_LN_DadosExportados'!$A:$A,"X")+R64)/$X64)*$D64,"")</f>
        <v/>
      </c>
      <c r="F64" s="144" t="str">
        <f>IFERROR(((SUMIFS('2_LN_DadosExportados'!AN:AN,'2_LN_DadosExportados'!$V:$V,$C64,'2_LN_DadosExportados'!$A:$A,"X")+S64)/$X64)*$D64,"")</f>
        <v/>
      </c>
      <c r="G64" s="144" t="str">
        <f>IFERROR(((SUMIFS('2_LN_DadosExportados'!AO:AO,'2_LN_DadosExportados'!$V:$V,$C64,'2_LN_DadosExportados'!$A:$A,"X")+T64)/$X64)*$D64,"")</f>
        <v/>
      </c>
      <c r="H64" s="144" t="str">
        <f>IFERROR(((SUMIFS('2_LN_DadosExportados'!AP:AP,'2_LN_DadosExportados'!$V:$V,$C64,'2_LN_DadosExportados'!$A:$A,"X")+U64)/$X64)*$D64,"")</f>
        <v/>
      </c>
      <c r="I64" s="144" t="str">
        <f>IFERROR(((SUMIFS('2_LN_DadosExportados'!AQ:AQ,'2_LN_DadosExportados'!$V:$V,$C64,'2_LN_DadosExportados'!$A:$A,"X")+V64)/$X64)*$D64,"")</f>
        <v/>
      </c>
      <c r="J64" s="144" t="str">
        <f>IFERROR(((SUMIFS('2_LN_DadosExportados'!AR:AR,'2_LN_DadosExportados'!$V:$V,$C64,'2_LN_DadosExportados'!$A:$A,"X")+W64)/$X64)*$D64,"")</f>
        <v/>
      </c>
      <c r="K64" s="142" t="str">
        <f t="shared" si="11"/>
        <v/>
      </c>
      <c r="L64" s="142" t="str">
        <f t="shared" si="13"/>
        <v/>
      </c>
      <c r="M64" s="142" t="str">
        <f t="shared" si="14"/>
        <v/>
      </c>
      <c r="N64" s="142" t="str">
        <f t="shared" si="15"/>
        <v/>
      </c>
      <c r="O64" s="142" t="str">
        <f t="shared" si="16"/>
        <v/>
      </c>
      <c r="P64" s="142" t="str">
        <f t="shared" si="17"/>
        <v/>
      </c>
      <c r="Q64" s="23">
        <v>85</v>
      </c>
      <c r="R64" s="27">
        <v>1156.83</v>
      </c>
      <c r="S64" s="27">
        <v>254.31</v>
      </c>
      <c r="T64" s="27">
        <v>211.91</v>
      </c>
      <c r="U64" s="27">
        <v>170.7</v>
      </c>
      <c r="V64" s="27">
        <v>130.68</v>
      </c>
      <c r="W64" s="27">
        <v>110.22</v>
      </c>
      <c r="X64" s="28">
        <f t="shared" si="9"/>
        <v>0</v>
      </c>
      <c r="Y64" s="29">
        <f t="shared" si="10"/>
        <v>0</v>
      </c>
      <c r="Z64" s="30">
        <v>2776388</v>
      </c>
      <c r="AA64" s="30">
        <v>619632</v>
      </c>
      <c r="AB64" s="30">
        <v>524304</v>
      </c>
      <c r="AC64" s="30">
        <v>428976</v>
      </c>
      <c r="AD64" s="30">
        <v>333648</v>
      </c>
      <c r="AE64" s="149">
        <v>285984</v>
      </c>
      <c r="AF64" s="151" t="str">
        <f>IFERROR(VLOOKUP(C64,'2_LN_DadosExportados'!V:V,1,FALSE),"")</f>
        <v/>
      </c>
      <c r="AG64" t="str" cm="1">
        <f t="array" ref="AG64">IF(AND(ISERR(FIND("sim",INDEX('existencia de wc'!K$2:K$193,MATCH(IP_WC!C64,'existencia de wc'!B$2:B$192,0))))=FALSE,SUMPRODUCT(('2_LN_DadosExportados'!V$2:V$314=IP_WC!C64)*('2_LN_DadosExportados'!A$2:A$314="X"))&gt;0), "MOSTRAR","")</f>
        <v/>
      </c>
    </row>
    <row r="65" spans="1:33" ht="15.75" thickBot="1" x14ac:dyDescent="0.3">
      <c r="A65" s="153" t="str">
        <f t="shared" si="8"/>
        <v>INVEST</v>
      </c>
      <c r="B65" s="152" t="s">
        <v>797</v>
      </c>
      <c r="C65" s="19" t="s">
        <v>113</v>
      </c>
      <c r="D65" s="21">
        <v>1</v>
      </c>
      <c r="E65" s="144">
        <f>IFERROR(((SUMIFS('2_LN_DadosExportados'!AM:AM,'2_LN_DadosExportados'!$V:$V,$C65,'2_LN_DadosExportados'!$A:$A,"X")+R65)/$X65)*$D65,"")</f>
        <v>0.55062463256907701</v>
      </c>
      <c r="F65" s="144">
        <f>IFERROR(((SUMIFS('2_LN_DadosExportados'!AN:AN,'2_LN_DadosExportados'!$V:$V,$C65,'2_LN_DadosExportados'!$A:$A,"X")+S65)/$X65)*$D65,"")</f>
        <v>0.71051771017048793</v>
      </c>
      <c r="G65" s="144">
        <f>IFERROR(((SUMIFS('2_LN_DadosExportados'!AO:AO,'2_LN_DadosExportados'!$V:$V,$C65,'2_LN_DadosExportados'!$A:$A,"X")+T65)/$X65)*$D65,"")</f>
        <v>0.91950874485596701</v>
      </c>
      <c r="H65" s="144">
        <f>IFERROR(((SUMIFS('2_LN_DadosExportados'!AP:AP,'2_LN_DadosExportados'!$V:$V,$C65,'2_LN_DadosExportados'!$A:$A,"X")+U65)/$X65)*$D65,"")</f>
        <v>1.0607657260435039</v>
      </c>
      <c r="I65" s="144">
        <f>IFERROR(((SUMIFS('2_LN_DadosExportados'!AQ:AQ,'2_LN_DadosExportados'!$V:$V,$C65,'2_LN_DadosExportados'!$A:$A,"X")+V65)/$X65)*$D65,"")</f>
        <v>1.1950304967666079</v>
      </c>
      <c r="J65" s="144">
        <f>IFERROR(((SUMIFS('2_LN_DadosExportados'!AR:AR,'2_LN_DadosExportados'!$V:$V,$C65,'2_LN_DadosExportados'!$A:$A,"X")+W65)/$X65)*$D65,"")</f>
        <v>1.2549015285126397</v>
      </c>
      <c r="K65" s="142">
        <f t="shared" si="11"/>
        <v>0.55062463256907701</v>
      </c>
      <c r="L65" s="142">
        <f t="shared" si="13"/>
        <v>0.71051771017048793</v>
      </c>
      <c r="M65" s="142">
        <f t="shared" si="14"/>
        <v>0.91950874485596701</v>
      </c>
      <c r="N65" s="142">
        <f t="shared" si="15"/>
        <v>1.0607657260435039</v>
      </c>
      <c r="O65" s="142">
        <f t="shared" si="16"/>
        <v>1.1950304967666079</v>
      </c>
      <c r="P65" s="142">
        <f t="shared" si="17"/>
        <v>1.2549015285126397</v>
      </c>
      <c r="Q65" s="23">
        <v>90</v>
      </c>
      <c r="R65" s="27">
        <v>2997.16</v>
      </c>
      <c r="S65" s="27">
        <v>3867.49</v>
      </c>
      <c r="T65" s="27">
        <v>5005.07</v>
      </c>
      <c r="U65" s="27">
        <v>5773.96</v>
      </c>
      <c r="V65" s="27">
        <v>6504.79</v>
      </c>
      <c r="W65" s="27">
        <v>6830.68</v>
      </c>
      <c r="X65" s="28">
        <f t="shared" si="9"/>
        <v>5443.2</v>
      </c>
      <c r="Y65" s="29">
        <f t="shared" si="10"/>
        <v>6048</v>
      </c>
      <c r="Z65" s="30">
        <v>607103</v>
      </c>
      <c r="AA65" s="30">
        <v>829997</v>
      </c>
      <c r="AB65" s="30">
        <v>1106511</v>
      </c>
      <c r="AC65" s="30">
        <v>1312576</v>
      </c>
      <c r="AD65" s="30">
        <v>1515710</v>
      </c>
      <c r="AE65" s="149">
        <v>1620580</v>
      </c>
      <c r="AF65" s="151" t="str">
        <f>IFERROR(VLOOKUP(C65,'2_LN_DadosExportados'!V:V,1,FALSE),"")</f>
        <v/>
      </c>
      <c r="AG65" t="str" cm="1">
        <f t="array" ref="AG65">IF(AND(ISERR(FIND("sim",INDEX('existencia de wc'!K$2:K$193,MATCH(IP_WC!C65,'existencia de wc'!B$2:B$192,0))))=FALSE,SUMPRODUCT(('2_LN_DadosExportados'!V$2:V$314=IP_WC!C65)*('2_LN_DadosExportados'!A$2:A$314="X"))&gt;0), "MOSTRAR","")</f>
        <v/>
      </c>
    </row>
    <row r="66" spans="1:33" ht="15.75" thickBot="1" x14ac:dyDescent="0.3">
      <c r="A66" s="153" t="str">
        <f t="shared" si="8"/>
        <v>OK</v>
      </c>
      <c r="B66" s="152" t="s">
        <v>798</v>
      </c>
      <c r="C66" s="19" t="s">
        <v>799</v>
      </c>
      <c r="D66" s="21">
        <v>1</v>
      </c>
      <c r="E66" s="144">
        <f>IFERROR(((SUMIFS('2_LN_DadosExportados'!AM:AM,'2_LN_DadosExportados'!$V:$V,$C66,'2_LN_DadosExportados'!$A:$A,"X")+R66)/$X66)*$D66,"")</f>
        <v>0.49887198706643154</v>
      </c>
      <c r="F66" s="144">
        <f>IFERROR(((SUMIFS('2_LN_DadosExportados'!AN:AN,'2_LN_DadosExportados'!$V:$V,$C66,'2_LN_DadosExportados'!$A:$A,"X")+S66)/$X66)*$D66,"")</f>
        <v>0.65025169018224571</v>
      </c>
      <c r="G66" s="144">
        <f>IFERROR(((SUMIFS('2_LN_DadosExportados'!AO:AO,'2_LN_DadosExportados'!$V:$V,$C66,'2_LN_DadosExportados'!$A:$A,"X")+T66)/$X66)*$D66,"")</f>
        <v>0.71521347736625518</v>
      </c>
      <c r="H66" s="144">
        <f>IFERROR(((SUMIFS('2_LN_DadosExportados'!AP:AP,'2_LN_DadosExportados'!$V:$V,$C66,'2_LN_DadosExportados'!$A:$A,"X")+U66)/$X66)*$D66,"")</f>
        <v>0.8112709435626102</v>
      </c>
      <c r="I66" s="144">
        <f>IFERROR(((SUMIFS('2_LN_DadosExportados'!AQ:AQ,'2_LN_DadosExportados'!$V:$V,$C66,'2_LN_DadosExportados'!$A:$A,"X")+V66)/$X66)*$D66,"")</f>
        <v>0.90185736331569666</v>
      </c>
      <c r="J66" s="144">
        <f>IFERROR(((SUMIFS('2_LN_DadosExportados'!AR:AR,'2_LN_DadosExportados'!$V:$V,$C66,'2_LN_DadosExportados'!$A:$A,"X")+W66)/$X66)*$D66,"")</f>
        <v>0.91956753380364498</v>
      </c>
      <c r="K66" s="142">
        <f t="shared" si="11"/>
        <v>0.49887198706643154</v>
      </c>
      <c r="L66" s="142">
        <f t="shared" si="13"/>
        <v>0.65025169018224571</v>
      </c>
      <c r="M66" s="142">
        <f t="shared" si="14"/>
        <v>0.71521347736625518</v>
      </c>
      <c r="N66" s="142">
        <f t="shared" si="15"/>
        <v>0.8112709435626102</v>
      </c>
      <c r="O66" s="142">
        <f t="shared" si="16"/>
        <v>0.90185736331569666</v>
      </c>
      <c r="P66" s="142">
        <f t="shared" si="17"/>
        <v>0.91956753380364498</v>
      </c>
      <c r="Q66" s="23">
        <v>90</v>
      </c>
      <c r="R66" s="27">
        <v>2715.46</v>
      </c>
      <c r="S66" s="27">
        <v>3539.45</v>
      </c>
      <c r="T66" s="27">
        <v>3893.05</v>
      </c>
      <c r="U66" s="27">
        <v>4415.91</v>
      </c>
      <c r="V66" s="27">
        <v>4908.99</v>
      </c>
      <c r="W66" s="27">
        <v>5005.3900000000003</v>
      </c>
      <c r="X66" s="28">
        <f t="shared" si="9"/>
        <v>5443.2</v>
      </c>
      <c r="Y66" s="29">
        <f t="shared" si="10"/>
        <v>6048</v>
      </c>
      <c r="Z66" s="30">
        <v>601283</v>
      </c>
      <c r="AA66" s="30">
        <v>814370</v>
      </c>
      <c r="AB66" s="30">
        <v>915194</v>
      </c>
      <c r="AC66" s="30">
        <v>1061725</v>
      </c>
      <c r="AD66" s="30">
        <v>1205325</v>
      </c>
      <c r="AE66" s="149">
        <v>1250662</v>
      </c>
      <c r="AF66" s="151" t="str">
        <f>IFERROR(VLOOKUP(C66,'2_LN_DadosExportados'!V:V,1,FALSE),"")</f>
        <v/>
      </c>
      <c r="AG66" t="str" cm="1">
        <f t="array" ref="AG66">IF(AND(ISERR(FIND("sim",INDEX('existencia de wc'!K$2:K$193,MATCH(IP_WC!C66,'existencia de wc'!B$2:B$192,0))))=FALSE,SUMPRODUCT(('2_LN_DadosExportados'!V$2:V$314=IP_WC!C66)*('2_LN_DadosExportados'!A$2:A$314="X"))&gt;0), "MOSTRAR","")</f>
        <v/>
      </c>
    </row>
    <row r="67" spans="1:33" ht="15.75" thickBot="1" x14ac:dyDescent="0.3">
      <c r="A67" s="153" t="str">
        <f t="shared" si="8"/>
        <v>OK</v>
      </c>
      <c r="B67" s="152" t="s">
        <v>800</v>
      </c>
      <c r="C67" s="19" t="s">
        <v>121</v>
      </c>
      <c r="D67" s="21">
        <v>2</v>
      </c>
      <c r="E67" s="144">
        <f>IFERROR(((SUMIFS('2_LN_DadosExportados'!AM:AM,'2_LN_DadosExportados'!$V:$V,$C67,'2_LN_DadosExportados'!$A:$A,"X")+R67)/$X67)*$D67,"")</f>
        <v>6.8891460905349797E-2</v>
      </c>
      <c r="F67" s="144">
        <f>IFERROR(((SUMIFS('2_LN_DadosExportados'!AN:AN,'2_LN_DadosExportados'!$V:$V,$C67,'2_LN_DadosExportados'!$A:$A,"X")+S67)/$X67)*$D67,"")</f>
        <v>1.6846707818930041E-2</v>
      </c>
      <c r="G67" s="144">
        <f>IFERROR(((SUMIFS('2_LN_DadosExportados'!AO:AO,'2_LN_DadosExportados'!$V:$V,$C67,'2_LN_DadosExportados'!$A:$A,"X")+T67)/$X67)*$D67,"")</f>
        <v>1.4037698412698413E-2</v>
      </c>
      <c r="H67" s="144">
        <f>IFERROR(((SUMIFS('2_LN_DadosExportados'!AP:AP,'2_LN_DadosExportados'!$V:$V,$C67,'2_LN_DadosExportados'!$A:$A,"X")+U67)/$X67)*$D67,"")</f>
        <v>1.1307686654908876E-2</v>
      </c>
      <c r="I67" s="144">
        <f>IFERROR(((SUMIFS('2_LN_DadosExportados'!AQ:AQ,'2_LN_DadosExportados'!$V:$V,$C67,'2_LN_DadosExportados'!$A:$A,"X")+V67)/$X67)*$D67,"")</f>
        <v>8.6566725455614335E-3</v>
      </c>
      <c r="J67" s="144">
        <f>IFERROR(((SUMIFS('2_LN_DadosExportados'!AR:AR,'2_LN_DadosExportados'!$V:$V,$C67,'2_LN_DadosExportados'!$A:$A,"X")+W67)/$X67)*$D67,"")</f>
        <v>7.3008524397413293E-3</v>
      </c>
      <c r="K67" s="142">
        <f t="shared" si="11"/>
        <v>6.8891460905349797E-2</v>
      </c>
      <c r="L67" s="142">
        <f t="shared" si="13"/>
        <v>1.6846707818930041E-2</v>
      </c>
      <c r="M67" s="142">
        <f t="shared" si="14"/>
        <v>1.4037698412698413E-2</v>
      </c>
      <c r="N67" s="142">
        <f t="shared" si="15"/>
        <v>1.1307686654908876E-2</v>
      </c>
      <c r="O67" s="142">
        <f t="shared" si="16"/>
        <v>8.6566725455614335E-3</v>
      </c>
      <c r="P67" s="142">
        <f t="shared" si="17"/>
        <v>7.3008524397413293E-3</v>
      </c>
      <c r="Q67" s="23">
        <v>90</v>
      </c>
      <c r="R67" s="27">
        <v>374.99</v>
      </c>
      <c r="S67" s="27">
        <v>91.7</v>
      </c>
      <c r="T67" s="27">
        <v>76.41</v>
      </c>
      <c r="U67" s="27">
        <v>61.55</v>
      </c>
      <c r="V67" s="27">
        <v>47.12</v>
      </c>
      <c r="W67" s="27">
        <v>39.74</v>
      </c>
      <c r="X67" s="28">
        <f t="shared" si="9"/>
        <v>10886.4</v>
      </c>
      <c r="Y67" s="29">
        <f t="shared" si="10"/>
        <v>12096</v>
      </c>
      <c r="Z67" s="30">
        <v>2812488</v>
      </c>
      <c r="AA67" s="30">
        <v>698228</v>
      </c>
      <c r="AB67" s="30">
        <v>590808</v>
      </c>
      <c r="AC67" s="30">
        <v>483389</v>
      </c>
      <c r="AD67" s="30">
        <v>375969</v>
      </c>
      <c r="AE67" s="149">
        <v>322259</v>
      </c>
      <c r="AF67" s="151" t="str">
        <f>IFERROR(VLOOKUP(C67,'2_LN_DadosExportados'!V:V,1,FALSE),"")</f>
        <v/>
      </c>
      <c r="AG67" t="str" cm="1">
        <f t="array" ref="AG67">IF(AND(ISERR(FIND("sim",INDEX('existencia de wc'!K$2:K$193,MATCH(IP_WC!C67,'existencia de wc'!B$2:B$192,0))))=FALSE,SUMPRODUCT(('2_LN_DadosExportados'!V$2:V$314=IP_WC!C67)*('2_LN_DadosExportados'!A$2:A$314="X"))&gt;0), "MOSTRAR","")</f>
        <v/>
      </c>
    </row>
    <row r="68" spans="1:33" ht="15.75" thickBot="1" x14ac:dyDescent="0.3">
      <c r="A68" s="153" t="str">
        <f t="shared" si="8"/>
        <v>INVEST</v>
      </c>
      <c r="B68" s="152" t="s">
        <v>801</v>
      </c>
      <c r="C68" s="19" t="s">
        <v>115</v>
      </c>
      <c r="D68" s="21">
        <v>1</v>
      </c>
      <c r="E68" s="144">
        <f>IFERROR(((SUMIFS('2_LN_DadosExportados'!AM:AM,'2_LN_DadosExportados'!$V:$V,$C68,'2_LN_DadosExportados'!$A:$A,"X")+R68)/$X68)*$D68,"")</f>
        <v>1.2217298647854204</v>
      </c>
      <c r="F68" s="144">
        <f>IFERROR(((SUMIFS('2_LN_DadosExportados'!AN:AN,'2_LN_DadosExportados'!$V:$V,$C68,'2_LN_DadosExportados'!$A:$A,"X")+S68)/$X68)*$D68,"")</f>
        <v>1.6134608318636097</v>
      </c>
      <c r="G68" s="144">
        <f>IFERROR(((SUMIFS('2_LN_DadosExportados'!AO:AO,'2_LN_DadosExportados'!$V:$V,$C68,'2_LN_DadosExportados'!$A:$A,"X")+T68)/$X68)*$D68,"")</f>
        <v>1.9209968400940625</v>
      </c>
      <c r="H68" s="144">
        <f>IFERROR(((SUMIFS('2_LN_DadosExportados'!AP:AP,'2_LN_DadosExportados'!$V:$V,$C68,'2_LN_DadosExportados'!$A:$A,"X")+U68)/$X68)*$D68,"")</f>
        <v>2.2074441504997062</v>
      </c>
      <c r="I68" s="144">
        <f>IFERROR(((SUMIFS('2_LN_DadosExportados'!AQ:AQ,'2_LN_DadosExportados'!$V:$V,$C68,'2_LN_DadosExportados'!$A:$A,"X")+V68)/$X68)*$D68,"")</f>
        <v>2.4786908436213992</v>
      </c>
      <c r="J68" s="144">
        <f>IFERROR(((SUMIFS('2_LN_DadosExportados'!AR:AR,'2_LN_DadosExportados'!$V:$V,$C68,'2_LN_DadosExportados'!$A:$A,"X")+W68)/$X68)*$D68,"")</f>
        <v>2.5662294238683128</v>
      </c>
      <c r="K68" s="142">
        <f t="shared" si="11"/>
        <v>1.2217298647854204</v>
      </c>
      <c r="L68" s="142">
        <f t="shared" si="13"/>
        <v>1.6134608318636097</v>
      </c>
      <c r="M68" s="142">
        <f t="shared" si="14"/>
        <v>1.9209968400940625</v>
      </c>
      <c r="N68" s="142">
        <f t="shared" si="15"/>
        <v>2.2074441504997062</v>
      </c>
      <c r="O68" s="142">
        <f t="shared" si="16"/>
        <v>2.4786908436213992</v>
      </c>
      <c r="P68" s="142">
        <f t="shared" si="17"/>
        <v>2.5662294238683128</v>
      </c>
      <c r="Q68" s="23">
        <v>90</v>
      </c>
      <c r="R68" s="27">
        <v>6650.12</v>
      </c>
      <c r="S68" s="27">
        <v>8782.39</v>
      </c>
      <c r="T68" s="27">
        <v>10456.370000000001</v>
      </c>
      <c r="U68" s="27">
        <v>12015.56</v>
      </c>
      <c r="V68" s="27">
        <v>13492.01</v>
      </c>
      <c r="W68" s="27">
        <v>13968.5</v>
      </c>
      <c r="X68" s="28">
        <f t="shared" si="9"/>
        <v>5443.2</v>
      </c>
      <c r="Y68" s="29">
        <f t="shared" si="10"/>
        <v>6048</v>
      </c>
      <c r="Z68" s="30">
        <v>1208386</v>
      </c>
      <c r="AA68" s="30">
        <v>1644367</v>
      </c>
      <c r="AB68" s="30">
        <v>2021705</v>
      </c>
      <c r="AC68" s="30">
        <v>2374301</v>
      </c>
      <c r="AD68" s="30">
        <v>2721035</v>
      </c>
      <c r="AE68" s="149">
        <v>2871242</v>
      </c>
      <c r="AF68" s="151" t="str">
        <f>IFERROR(VLOOKUP(C68,'2_LN_DadosExportados'!V:V,1,FALSE),"")</f>
        <v/>
      </c>
      <c r="AG68" t="str" cm="1">
        <f t="array" ref="AG68">IF(AND(ISERR(FIND("sim",INDEX('existencia de wc'!K$2:K$193,MATCH(IP_WC!C68,'existencia de wc'!B$2:B$192,0))))=FALSE,SUMPRODUCT(('2_LN_DadosExportados'!V$2:V$314=IP_WC!C68)*('2_LN_DadosExportados'!A$2:A$314="X"))&gt;0), "MOSTRAR","")</f>
        <v/>
      </c>
    </row>
    <row r="69" spans="1:33" ht="15.75" thickBot="1" x14ac:dyDescent="0.3">
      <c r="A69" s="153" t="str">
        <f t="shared" ref="A69:A78" si="18">IF(OR(E69&gt;=D69,F69&gt;=D69,G69&gt;=D69,H69&gt;=D69,I69&gt;=D69,J69&gt;=D69),"INVEST","OK")</f>
        <v>OK</v>
      </c>
      <c r="B69" s="152" t="s">
        <v>802</v>
      </c>
      <c r="C69" s="19" t="s">
        <v>43</v>
      </c>
      <c r="D69" s="21">
        <v>1</v>
      </c>
      <c r="E69" s="144">
        <f>IFERROR(((SUMIFS('2_LN_DadosExportados'!AM:AM,'2_LN_DadosExportados'!$V:$V,$C69,'2_LN_DadosExportados'!$A:$A,"X")+R69)/$X69)*$D69,"")</f>
        <v>0</v>
      </c>
      <c r="F69" s="144">
        <f>IFERROR(((SUMIFS('2_LN_DadosExportados'!AN:AN,'2_LN_DadosExportados'!$V:$V,$C69,'2_LN_DadosExportados'!$A:$A,"X")+S69)/$X69)*$D69,"")</f>
        <v>2.8953556731334509E-2</v>
      </c>
      <c r="G69" s="144">
        <f>IFERROR(((SUMIFS('2_LN_DadosExportados'!AO:AO,'2_LN_DadosExportados'!$V:$V,$C69,'2_LN_DadosExportados'!$A:$A,"X")+T69)/$X69)*$D69,"")</f>
        <v>0</v>
      </c>
      <c r="H69" s="144">
        <f>IFERROR(((SUMIFS('2_LN_DadosExportados'!AP:AP,'2_LN_DadosExportados'!$V:$V,$C69,'2_LN_DadosExportados'!$A:$A,"X")+U69)/$X69)*$D69,"")</f>
        <v>0</v>
      </c>
      <c r="I69" s="144">
        <f>IFERROR(((SUMIFS('2_LN_DadosExportados'!AQ:AQ,'2_LN_DadosExportados'!$V:$V,$C69,'2_LN_DadosExportados'!$A:$A,"X")+V69)/$X69)*$D69,"")</f>
        <v>0</v>
      </c>
      <c r="J69" s="144">
        <f>IFERROR(((SUMIFS('2_LN_DadosExportados'!AR:AR,'2_LN_DadosExportados'!$V:$V,$C69,'2_LN_DadosExportados'!$A:$A,"X")+W69)/$X69)*$D69,"")</f>
        <v>0</v>
      </c>
      <c r="K69" s="142">
        <f t="shared" si="11"/>
        <v>0</v>
      </c>
      <c r="L69" s="142">
        <f t="shared" si="13"/>
        <v>2.8953556731334509E-2</v>
      </c>
      <c r="M69" s="142">
        <f t="shared" si="14"/>
        <v>0</v>
      </c>
      <c r="N69" s="142">
        <f t="shared" si="15"/>
        <v>0</v>
      </c>
      <c r="O69" s="142">
        <f t="shared" si="16"/>
        <v>0</v>
      </c>
      <c r="P69" s="142">
        <f t="shared" si="17"/>
        <v>0</v>
      </c>
      <c r="Q69" s="23">
        <v>90</v>
      </c>
      <c r="R69" s="27">
        <v>0</v>
      </c>
      <c r="S69" s="27">
        <v>157.6</v>
      </c>
      <c r="T69" s="27">
        <v>0</v>
      </c>
      <c r="U69" s="27">
        <v>0</v>
      </c>
      <c r="V69" s="27">
        <v>0</v>
      </c>
      <c r="W69" s="27">
        <v>0</v>
      </c>
      <c r="X69" s="28">
        <f t="shared" ref="X69:X78" si="19">Y69*(Q69/100)</f>
        <v>5443.2</v>
      </c>
      <c r="Y69" s="29">
        <f t="shared" ref="Y69:Y78" si="20">24*5.25*48*D69</f>
        <v>6048</v>
      </c>
      <c r="Z69" s="30">
        <v>0</v>
      </c>
      <c r="AA69" s="30">
        <v>48000</v>
      </c>
      <c r="AB69" s="30">
        <v>0</v>
      </c>
      <c r="AC69" s="30">
        <v>0</v>
      </c>
      <c r="AD69" s="30">
        <v>0</v>
      </c>
      <c r="AE69" s="149">
        <v>0</v>
      </c>
      <c r="AF69" s="151" t="str">
        <f>IFERROR(VLOOKUP(C69,'2_LN_DadosExportados'!V:V,1,FALSE),"")</f>
        <v/>
      </c>
      <c r="AG69" t="str" cm="1">
        <f t="array" ref="AG69">IF(AND(ISERR(FIND("sim",INDEX('existencia de wc'!K$2:K$193,MATCH(IP_WC!C69,'existencia de wc'!B$2:B$192,0))))=FALSE,SUMPRODUCT(('2_LN_DadosExportados'!V$2:V$314=IP_WC!C69)*('2_LN_DadosExportados'!A$2:A$314="X"))&gt;0), "MOSTRAR","")</f>
        <v/>
      </c>
    </row>
    <row r="70" spans="1:33" ht="15.75" thickBot="1" x14ac:dyDescent="0.3">
      <c r="A70" s="153" t="str">
        <f t="shared" si="18"/>
        <v>OK</v>
      </c>
      <c r="B70" s="152" t="s">
        <v>803</v>
      </c>
      <c r="C70" s="19" t="s">
        <v>86</v>
      </c>
      <c r="D70" s="21">
        <v>1</v>
      </c>
      <c r="E70" s="144">
        <f>IFERROR(((SUMIFS('2_LN_DadosExportados'!AM:AM,'2_LN_DadosExportados'!$V:$V,$C70,'2_LN_DadosExportados'!$A:$A,"X")+R70)/$X70)*$D70,"")</f>
        <v>0</v>
      </c>
      <c r="F70" s="144">
        <f>IFERROR(((SUMIFS('2_LN_DadosExportados'!AN:AN,'2_LN_DadosExportados'!$V:$V,$C70,'2_LN_DadosExportados'!$A:$A,"X")+S70)/$X70)*$D70,"")</f>
        <v>0</v>
      </c>
      <c r="G70" s="144">
        <f>IFERROR(((SUMIFS('2_LN_DadosExportados'!AO:AO,'2_LN_DadosExportados'!$V:$V,$C70,'2_LN_DadosExportados'!$A:$A,"X")+T70)/$X70)*$D70,"")</f>
        <v>0</v>
      </c>
      <c r="H70" s="144">
        <f>IFERROR(((SUMIFS('2_LN_DadosExportados'!AP:AP,'2_LN_DadosExportados'!$V:$V,$C70,'2_LN_DadosExportados'!$A:$A,"X")+U70)/$X70)*$D70,"")</f>
        <v>0</v>
      </c>
      <c r="I70" s="144">
        <f>IFERROR(((SUMIFS('2_LN_DadosExportados'!AQ:AQ,'2_LN_DadosExportados'!$V:$V,$C70,'2_LN_DadosExportados'!$A:$A,"X")+V70)/$X70)*$D70,"")</f>
        <v>0</v>
      </c>
      <c r="J70" s="144">
        <f>IFERROR(((SUMIFS('2_LN_DadosExportados'!AR:AR,'2_LN_DadosExportados'!$V:$V,$C70,'2_LN_DadosExportados'!$A:$A,"X")+W70)/$X70)*$D70,"")</f>
        <v>0</v>
      </c>
      <c r="K70" s="142">
        <f t="shared" si="11"/>
        <v>0</v>
      </c>
      <c r="L70" s="142">
        <f t="shared" si="13"/>
        <v>0</v>
      </c>
      <c r="M70" s="142">
        <f t="shared" si="14"/>
        <v>0</v>
      </c>
      <c r="N70" s="142">
        <f t="shared" si="15"/>
        <v>0</v>
      </c>
      <c r="O70" s="142">
        <f t="shared" si="16"/>
        <v>0</v>
      </c>
      <c r="P70" s="142">
        <f t="shared" si="17"/>
        <v>0</v>
      </c>
      <c r="Q70" s="23">
        <v>90</v>
      </c>
      <c r="R70" s="27">
        <v>0</v>
      </c>
      <c r="S70" s="27">
        <v>0</v>
      </c>
      <c r="T70" s="27">
        <v>0</v>
      </c>
      <c r="U70" s="27">
        <v>0</v>
      </c>
      <c r="V70" s="27">
        <v>0</v>
      </c>
      <c r="W70" s="27">
        <v>0</v>
      </c>
      <c r="X70" s="28">
        <f t="shared" si="19"/>
        <v>5443.2</v>
      </c>
      <c r="Y70" s="29">
        <f t="shared" si="20"/>
        <v>6048</v>
      </c>
      <c r="Z70" s="30">
        <v>45317269.520000003</v>
      </c>
      <c r="AA70" s="30">
        <v>35372588</v>
      </c>
      <c r="AB70" s="30">
        <v>36804732</v>
      </c>
      <c r="AC70" s="30">
        <v>38259980</v>
      </c>
      <c r="AD70" s="30">
        <v>39714064</v>
      </c>
      <c r="AE70" s="149">
        <v>41682167</v>
      </c>
      <c r="AF70" s="151" t="str">
        <f>IFERROR(VLOOKUP(C70,'2_LN_DadosExportados'!V:V,1,FALSE),"")</f>
        <v>WC - Preparação Ferrament - GF</v>
      </c>
      <c r="AG70" t="str" cm="1">
        <f t="array" ref="AG70">IF(AND(ISERR(FIND("sim",INDEX('existencia de wc'!K$2:K$193,MATCH(IP_WC!C70,'existencia de wc'!B$2:B$192,0))))=FALSE,SUMPRODUCT(('2_LN_DadosExportados'!V$2:V$314=IP_WC!C70)*('2_LN_DadosExportados'!A$2:A$314="X"))&gt;0), "MOSTRAR","")</f>
        <v/>
      </c>
    </row>
    <row r="71" spans="1:33" ht="15.75" thickBot="1" x14ac:dyDescent="0.3">
      <c r="A71" s="153" t="str">
        <f t="shared" si="18"/>
        <v>OK</v>
      </c>
      <c r="B71" s="152" t="s">
        <v>804</v>
      </c>
      <c r="C71" s="19" t="s">
        <v>52</v>
      </c>
      <c r="D71" s="21">
        <v>5</v>
      </c>
      <c r="E71" s="144">
        <f>IFERROR(((SUMIFS('2_LN_DadosExportados'!AM:AM,'2_LN_DadosExportados'!$V:$V,$C71,'2_LN_DadosExportados'!$A:$A,"X")+R71)/$X71)*$D71,"")</f>
        <v>3.9788800705467371</v>
      </c>
      <c r="F71" s="144">
        <f>IFERROR(((SUMIFS('2_LN_DadosExportados'!AN:AN,'2_LN_DadosExportados'!$V:$V,$C71,'2_LN_DadosExportados'!$A:$A,"X")+S71)/$X71)*$D71,"")</f>
        <v>3.7190347589653143</v>
      </c>
      <c r="G71" s="144">
        <f>IFERROR(((SUMIFS('2_LN_DadosExportados'!AO:AO,'2_LN_DadosExportados'!$V:$V,$C71,'2_LN_DadosExportados'!$A:$A,"X")+T71)/$X71)*$D71,"")</f>
        <v>3.9020116843033508</v>
      </c>
      <c r="H71" s="144">
        <f>IFERROR(((SUMIFS('2_LN_DadosExportados'!AP:AP,'2_LN_DadosExportados'!$V:$V,$C71,'2_LN_DadosExportados'!$A:$A,"X")+U71)/$X71)*$D71,"")</f>
        <v>4.0942111258083482</v>
      </c>
      <c r="I71" s="144">
        <f>IFERROR(((SUMIFS('2_LN_DadosExportados'!AQ:AQ,'2_LN_DadosExportados'!$V:$V,$C71,'2_LN_DadosExportados'!$A:$A,"X")+V71)/$X71)*$D71,"")</f>
        <v>4.2753068048206933</v>
      </c>
      <c r="J71" s="144">
        <f>IFERROR(((SUMIFS('2_LN_DadosExportados'!AR:AR,'2_LN_DadosExportados'!$V:$V,$C71,'2_LN_DadosExportados'!$A:$A,"X")+W71)/$X71)*$D71,"")</f>
        <v>4.3357234714873609</v>
      </c>
      <c r="K71" s="142">
        <f t="shared" si="11"/>
        <v>3.9788800705467371</v>
      </c>
      <c r="L71" s="142">
        <f t="shared" si="13"/>
        <v>3.7190347589653143</v>
      </c>
      <c r="M71" s="142">
        <f t="shared" si="14"/>
        <v>3.9020116843033508</v>
      </c>
      <c r="N71" s="142">
        <f t="shared" si="15"/>
        <v>4.0942111258083482</v>
      </c>
      <c r="O71" s="142">
        <f t="shared" si="16"/>
        <v>4.2753068048206933</v>
      </c>
      <c r="P71" s="142">
        <f t="shared" si="17"/>
        <v>4.3357234714873609</v>
      </c>
      <c r="Q71" s="23">
        <v>90</v>
      </c>
      <c r="R71" s="27">
        <v>21657.84</v>
      </c>
      <c r="S71" s="27">
        <v>20243.45</v>
      </c>
      <c r="T71" s="27">
        <v>21239.43</v>
      </c>
      <c r="U71" s="27">
        <v>22285.61</v>
      </c>
      <c r="V71" s="27">
        <v>23271.35</v>
      </c>
      <c r="W71" s="27">
        <v>23600.21</v>
      </c>
      <c r="X71" s="28">
        <f t="shared" si="19"/>
        <v>27216</v>
      </c>
      <c r="Y71" s="29">
        <f t="shared" si="20"/>
        <v>30240</v>
      </c>
      <c r="Z71" s="30">
        <v>43479989.520000003</v>
      </c>
      <c r="AA71" s="30">
        <v>32933156</v>
      </c>
      <c r="AB71" s="30">
        <v>34629728</v>
      </c>
      <c r="AC71" s="30">
        <v>36349399</v>
      </c>
      <c r="AD71" s="30">
        <v>38067911</v>
      </c>
      <c r="AE71" s="149">
        <v>40168228</v>
      </c>
      <c r="AF71" s="151" t="str">
        <f>IFERROR(VLOOKUP(C71,'2_LN_DadosExportados'!V:V,1,FALSE),"")</f>
        <v>WC - Embalagem manual</v>
      </c>
      <c r="AG71" t="str" cm="1">
        <f t="array" ref="AG71">IF(AND(ISERR(FIND("sim",INDEX('existencia de wc'!K$2:K$193,MATCH(IP_WC!C71,'existencia de wc'!B$2:B$192,0))))=FALSE,SUMPRODUCT(('2_LN_DadosExportados'!V$2:V$314=IP_WC!C71)*('2_LN_DadosExportados'!A$2:A$314="X"))&gt;0), "MOSTRAR","")</f>
        <v/>
      </c>
    </row>
    <row r="72" spans="1:33" ht="15.75" thickBot="1" x14ac:dyDescent="0.3">
      <c r="A72" s="153" t="str">
        <f t="shared" si="18"/>
        <v>INVEST</v>
      </c>
      <c r="B72" s="152" t="s">
        <v>264</v>
      </c>
      <c r="C72" s="19" t="s">
        <v>56</v>
      </c>
      <c r="D72" s="21">
        <v>0</v>
      </c>
      <c r="E72" s="144" t="str">
        <f>IFERROR(((SUMIFS('2_LN_DadosExportados'!AM:AM,'2_LN_DadosExportados'!$V:$V,$C72,'2_LN_DadosExportados'!$A:$A,"X")+R72)/$X72)*$D72,"")</f>
        <v/>
      </c>
      <c r="F72" s="144" t="str">
        <f>IFERROR(((SUMIFS('2_LN_DadosExportados'!AN:AN,'2_LN_DadosExportados'!$V:$V,$C72,'2_LN_DadosExportados'!$A:$A,"X")+S72)/$X72)*$D72,"")</f>
        <v/>
      </c>
      <c r="G72" s="144" t="str">
        <f>IFERROR(((SUMIFS('2_LN_DadosExportados'!AO:AO,'2_LN_DadosExportados'!$V:$V,$C72,'2_LN_DadosExportados'!$A:$A,"X")+T72)/$X72)*$D72,"")</f>
        <v/>
      </c>
      <c r="H72" s="144" t="str">
        <f>IFERROR(((SUMIFS('2_LN_DadosExportados'!AP:AP,'2_LN_DadosExportados'!$V:$V,$C72,'2_LN_DadosExportados'!$A:$A,"X")+U72)/$X72)*$D72,"")</f>
        <v/>
      </c>
      <c r="I72" s="144" t="str">
        <f>IFERROR(((SUMIFS('2_LN_DadosExportados'!AQ:AQ,'2_LN_DadosExportados'!$V:$V,$C72,'2_LN_DadosExportados'!$A:$A,"X")+V72)/$X72)*$D72,"")</f>
        <v/>
      </c>
      <c r="J72" s="144" t="str">
        <f>IFERROR(((SUMIFS('2_LN_DadosExportados'!AR:AR,'2_LN_DadosExportados'!$V:$V,$C72,'2_LN_DadosExportados'!$A:$A,"X")+W72)/$X72)*$D72,"")</f>
        <v/>
      </c>
      <c r="K72" s="142" t="str">
        <f t="shared" si="11"/>
        <v/>
      </c>
      <c r="L72" s="142" t="str">
        <f t="shared" si="13"/>
        <v/>
      </c>
      <c r="M72" s="142" t="str">
        <f t="shared" si="14"/>
        <v/>
      </c>
      <c r="N72" s="142" t="str">
        <f t="shared" si="15"/>
        <v/>
      </c>
      <c r="O72" s="142" t="str">
        <f t="shared" si="16"/>
        <v/>
      </c>
      <c r="P72" s="142" t="str">
        <f t="shared" si="17"/>
        <v/>
      </c>
      <c r="Q72" s="23">
        <v>0</v>
      </c>
      <c r="R72" s="27">
        <v>0</v>
      </c>
      <c r="S72" s="27">
        <v>0</v>
      </c>
      <c r="T72" s="27">
        <v>0</v>
      </c>
      <c r="U72" s="27">
        <v>0</v>
      </c>
      <c r="V72" s="27">
        <v>0</v>
      </c>
      <c r="W72" s="27">
        <v>0</v>
      </c>
      <c r="X72" s="28">
        <f t="shared" si="19"/>
        <v>0</v>
      </c>
      <c r="Y72" s="29">
        <f t="shared" si="20"/>
        <v>0</v>
      </c>
      <c r="Z72" s="30">
        <v>7407908.5199999996</v>
      </c>
      <c r="AA72" s="30">
        <v>6756118</v>
      </c>
      <c r="AB72" s="30">
        <v>6792118</v>
      </c>
      <c r="AC72" s="30">
        <v>6855118</v>
      </c>
      <c r="AD72" s="30">
        <v>6921268</v>
      </c>
      <c r="AE72" s="149">
        <v>6990726</v>
      </c>
      <c r="AF72" s="151" t="str">
        <f>IFERROR(VLOOKUP(C72,'2_LN_DadosExportados'!V:V,1,FALSE),"")</f>
        <v>WC - Expedir Subcontratado</v>
      </c>
      <c r="AG72" t="str" cm="1">
        <f t="array" ref="AG72">IF(AND(ISERR(FIND("sim",INDEX('existencia de wc'!K$2:K$193,MATCH(IP_WC!C72,'existencia de wc'!B$2:B$192,0))))=FALSE,SUMPRODUCT(('2_LN_DadosExportados'!V$2:V$314=IP_WC!C72)*('2_LN_DadosExportados'!A$2:A$314="X"))&gt;0), "MOSTRAR","")</f>
        <v/>
      </c>
    </row>
    <row r="73" spans="1:33" ht="15.75" thickBot="1" x14ac:dyDescent="0.3">
      <c r="A73" s="153" t="str">
        <f t="shared" si="18"/>
        <v>INVEST</v>
      </c>
      <c r="B73" s="152" t="s">
        <v>805</v>
      </c>
      <c r="C73" s="19" t="s">
        <v>68</v>
      </c>
      <c r="D73" s="21">
        <v>0</v>
      </c>
      <c r="E73" s="144" t="str">
        <f>IFERROR(((SUMIFS('2_LN_DadosExportados'!AM:AM,'2_LN_DadosExportados'!$V:$V,$C73,'2_LN_DadosExportados'!$A:$A,"X")+R73)/$X73)*$D73,"")</f>
        <v/>
      </c>
      <c r="F73" s="144" t="str">
        <f>IFERROR(((SUMIFS('2_LN_DadosExportados'!AN:AN,'2_LN_DadosExportados'!$V:$V,$C73,'2_LN_DadosExportados'!$A:$A,"X")+S73)/$X73)*$D73,"")</f>
        <v/>
      </c>
      <c r="G73" s="144" t="str">
        <f>IFERROR(((SUMIFS('2_LN_DadosExportados'!AO:AO,'2_LN_DadosExportados'!$V:$V,$C73,'2_LN_DadosExportados'!$A:$A,"X")+T73)/$X73)*$D73,"")</f>
        <v/>
      </c>
      <c r="H73" s="144" t="str">
        <f>IFERROR(((SUMIFS('2_LN_DadosExportados'!AP:AP,'2_LN_DadosExportados'!$V:$V,$C73,'2_LN_DadosExportados'!$A:$A,"X")+U73)/$X73)*$D73,"")</f>
        <v/>
      </c>
      <c r="I73" s="144" t="str">
        <f>IFERROR(((SUMIFS('2_LN_DadosExportados'!AQ:AQ,'2_LN_DadosExportados'!$V:$V,$C73,'2_LN_DadosExportados'!$A:$A,"X")+V73)/$X73)*$D73,"")</f>
        <v/>
      </c>
      <c r="J73" s="144" t="str">
        <f>IFERROR(((SUMIFS('2_LN_DadosExportados'!AR:AR,'2_LN_DadosExportados'!$V:$V,$C73,'2_LN_DadosExportados'!$A:$A,"X")+W73)/$X73)*$D73,"")</f>
        <v/>
      </c>
      <c r="K73" s="142" t="str">
        <f t="shared" si="11"/>
        <v/>
      </c>
      <c r="L73" s="142" t="str">
        <f t="shared" si="13"/>
        <v/>
      </c>
      <c r="M73" s="142" t="str">
        <f t="shared" si="14"/>
        <v/>
      </c>
      <c r="N73" s="142" t="str">
        <f t="shared" si="15"/>
        <v/>
      </c>
      <c r="O73" s="142" t="str">
        <f t="shared" si="16"/>
        <v/>
      </c>
      <c r="P73" s="142" t="str">
        <f t="shared" si="17"/>
        <v/>
      </c>
      <c r="Q73" s="23">
        <v>0</v>
      </c>
      <c r="R73" s="27">
        <v>7042.99</v>
      </c>
      <c r="S73" s="27">
        <v>8597.2800000000007</v>
      </c>
      <c r="T73" s="27">
        <v>8502.61</v>
      </c>
      <c r="U73" s="27">
        <v>8492.31</v>
      </c>
      <c r="V73" s="27">
        <v>8489.2999999999993</v>
      </c>
      <c r="W73" s="27">
        <v>8510.24</v>
      </c>
      <c r="X73" s="28">
        <f t="shared" si="19"/>
        <v>0</v>
      </c>
      <c r="Y73" s="29">
        <f t="shared" si="20"/>
        <v>0</v>
      </c>
      <c r="Z73" s="30">
        <v>2905923.52</v>
      </c>
      <c r="AA73" s="30">
        <v>3802123</v>
      </c>
      <c r="AB73" s="30">
        <v>3781490</v>
      </c>
      <c r="AC73" s="30">
        <v>3808691</v>
      </c>
      <c r="AD73" s="30">
        <v>3840602</v>
      </c>
      <c r="AE73" s="149">
        <v>3896463</v>
      </c>
      <c r="AF73" s="151" t="str">
        <f>IFERROR(VLOOKUP(C73,'2_LN_DadosExportados'!V:V,1,FALSE),"")</f>
        <v>WC - Selecionar 100%</v>
      </c>
      <c r="AG73" t="str" cm="1">
        <f t="array" ref="AG73">IF(AND(ISERR(FIND("sim",INDEX('existencia de wc'!K$2:K$193,MATCH(IP_WC!C73,'existencia de wc'!B$2:B$192,0))))=FALSE,SUMPRODUCT(('2_LN_DadosExportados'!V$2:V$314=IP_WC!C73)*('2_LN_DadosExportados'!A$2:A$314="X"))&gt;0), "MOSTRAR","")</f>
        <v/>
      </c>
    </row>
    <row r="74" spans="1:33" ht="15.75" thickBot="1" x14ac:dyDescent="0.3">
      <c r="A74" s="153" t="str">
        <f t="shared" si="18"/>
        <v>INVEST</v>
      </c>
      <c r="B74" s="152" t="s">
        <v>806</v>
      </c>
      <c r="C74" s="19" t="s">
        <v>62</v>
      </c>
      <c r="D74" s="21">
        <v>0</v>
      </c>
      <c r="E74" s="144" t="str">
        <f>IFERROR(((SUMIFS('2_LN_DadosExportados'!AM:AM,'2_LN_DadosExportados'!$V:$V,$C74,'2_LN_DadosExportados'!$A:$A,"X")+R74)/$X74)*$D74,"")</f>
        <v/>
      </c>
      <c r="F74" s="144" t="str">
        <f>IFERROR(((SUMIFS('2_LN_DadosExportados'!AN:AN,'2_LN_DadosExportados'!$V:$V,$C74,'2_LN_DadosExportados'!$A:$A,"X")+S74)/$X74)*$D74,"")</f>
        <v/>
      </c>
      <c r="G74" s="144" t="str">
        <f>IFERROR(((SUMIFS('2_LN_DadosExportados'!AO:AO,'2_LN_DadosExportados'!$V:$V,$C74,'2_LN_DadosExportados'!$A:$A,"X")+T74)/$X74)*$D74,"")</f>
        <v/>
      </c>
      <c r="H74" s="144" t="str">
        <f>IFERROR(((SUMIFS('2_LN_DadosExportados'!AP:AP,'2_LN_DadosExportados'!$V:$V,$C74,'2_LN_DadosExportados'!$A:$A,"X")+U74)/$X74)*$D74,"")</f>
        <v/>
      </c>
      <c r="I74" s="144" t="str">
        <f>IFERROR(((SUMIFS('2_LN_DadosExportados'!AQ:AQ,'2_LN_DadosExportados'!$V:$V,$C74,'2_LN_DadosExportados'!$A:$A,"X")+V74)/$X74)*$D74,"")</f>
        <v/>
      </c>
      <c r="J74" s="144" t="str">
        <f>IFERROR(((SUMIFS('2_LN_DadosExportados'!AR:AR,'2_LN_DadosExportados'!$V:$V,$C74,'2_LN_DadosExportados'!$A:$A,"X")+W74)/$X74)*$D74,"")</f>
        <v/>
      </c>
      <c r="K74" s="142" t="str">
        <f t="shared" si="11"/>
        <v/>
      </c>
      <c r="L74" s="142" t="str">
        <f t="shared" si="13"/>
        <v/>
      </c>
      <c r="M74" s="142" t="str">
        <f t="shared" si="14"/>
        <v/>
      </c>
      <c r="N74" s="142" t="str">
        <f t="shared" si="15"/>
        <v/>
      </c>
      <c r="O74" s="142" t="str">
        <f t="shared" si="16"/>
        <v/>
      </c>
      <c r="P74" s="142" t="str">
        <f t="shared" si="17"/>
        <v/>
      </c>
      <c r="Q74" s="23">
        <v>0</v>
      </c>
      <c r="R74" s="27">
        <v>208.85</v>
      </c>
      <c r="S74" s="27">
        <v>82.12</v>
      </c>
      <c r="T74" s="27">
        <v>554.26</v>
      </c>
      <c r="U74" s="27">
        <v>703.64</v>
      </c>
      <c r="V74" s="27">
        <v>848.01</v>
      </c>
      <c r="W74" s="27">
        <v>987.45</v>
      </c>
      <c r="X74" s="28">
        <f t="shared" si="19"/>
        <v>0</v>
      </c>
      <c r="Y74" s="29">
        <f t="shared" si="20"/>
        <v>0</v>
      </c>
      <c r="Z74" s="30">
        <v>6190618.5199999996</v>
      </c>
      <c r="AA74" s="30">
        <v>5414284</v>
      </c>
      <c r="AB74" s="30">
        <v>5625974</v>
      </c>
      <c r="AC74" s="30">
        <v>5748508</v>
      </c>
      <c r="AD74" s="30">
        <v>5874192</v>
      </c>
      <c r="AE74" s="149">
        <v>6003183</v>
      </c>
      <c r="AF74" s="151" t="str">
        <f>IFERROR(VLOOKUP(C74,'2_LN_DadosExportados'!V:V,1,FALSE),"")</f>
        <v>WC - Inspecionar</v>
      </c>
      <c r="AG74" t="str" cm="1">
        <f t="array" ref="AG74">IF(AND(ISERR(FIND("sim",INDEX('existencia de wc'!K$2:K$193,MATCH(IP_WC!C74,'existencia de wc'!B$2:B$192,0))))=FALSE,SUMPRODUCT(('2_LN_DadosExportados'!V$2:V$314=IP_WC!C74)*('2_LN_DadosExportados'!A$2:A$314="X"))&gt;0), "MOSTRAR","")</f>
        <v/>
      </c>
    </row>
    <row r="75" spans="1:33" ht="15.75" thickBot="1" x14ac:dyDescent="0.3">
      <c r="A75" s="153" t="str">
        <f t="shared" si="18"/>
        <v>OK</v>
      </c>
      <c r="B75" s="152" t="s">
        <v>807</v>
      </c>
      <c r="C75" s="19" t="s">
        <v>808</v>
      </c>
      <c r="D75" s="21">
        <v>2</v>
      </c>
      <c r="E75" s="144">
        <f>IFERROR(((SUMIFS('2_LN_DadosExportados'!AM:AM,'2_LN_DadosExportados'!$V:$V,$C75,'2_LN_DadosExportados'!$A:$A,"X")+R75)/$X75)*$D75,"")</f>
        <v>1.272066064079953</v>
      </c>
      <c r="F75" s="144">
        <f>IFERROR(((SUMIFS('2_LN_DadosExportados'!AN:AN,'2_LN_DadosExportados'!$V:$V,$C75,'2_LN_DadosExportados'!$A:$A,"X")+S75)/$X75)*$D75,"")</f>
        <v>1.0190365961199295</v>
      </c>
      <c r="G75" s="144">
        <f>IFERROR(((SUMIFS('2_LN_DadosExportados'!AO:AO,'2_LN_DadosExportados'!$V:$V,$C75,'2_LN_DadosExportados'!$A:$A,"X")+T75)/$X75)*$D75,"")</f>
        <v>1.0103229717813051</v>
      </c>
      <c r="H75" s="144">
        <f>IFERROR(((SUMIFS('2_LN_DadosExportados'!AP:AP,'2_LN_DadosExportados'!$V:$V,$C75,'2_LN_DadosExportados'!$A:$A,"X")+U75)/$X75)*$D75,"")</f>
        <v>1.006628453850676</v>
      </c>
      <c r="I75" s="144">
        <f>IFERROR(((SUMIFS('2_LN_DadosExportados'!AQ:AQ,'2_LN_DadosExportados'!$V:$V,$C75,'2_LN_DadosExportados'!$A:$A,"X")+V75)/$X75)*$D75,"")</f>
        <v>1.0035769400352734</v>
      </c>
      <c r="J75" s="144">
        <f>IFERROR(((SUMIFS('2_LN_DadosExportados'!AR:AR,'2_LN_DadosExportados'!$V:$V,$C75,'2_LN_DadosExportados'!$A:$A,"X")+W75)/$X75)*$D75,"")</f>
        <v>1.0023203262786595</v>
      </c>
      <c r="K75" s="142">
        <f t="shared" si="11"/>
        <v>1.272066064079953</v>
      </c>
      <c r="L75" s="142">
        <f t="shared" si="13"/>
        <v>1.0190365961199295</v>
      </c>
      <c r="M75" s="142">
        <f t="shared" si="14"/>
        <v>1.0103229717813051</v>
      </c>
      <c r="N75" s="142">
        <f t="shared" si="15"/>
        <v>1.006628453850676</v>
      </c>
      <c r="O75" s="142">
        <f t="shared" si="16"/>
        <v>1.0035769400352734</v>
      </c>
      <c r="P75" s="142">
        <f t="shared" si="17"/>
        <v>1.0023203262786595</v>
      </c>
      <c r="Q75" s="23">
        <v>90</v>
      </c>
      <c r="R75" s="27">
        <v>6924.11</v>
      </c>
      <c r="S75" s="27">
        <v>5546.82</v>
      </c>
      <c r="T75" s="27">
        <v>5499.39</v>
      </c>
      <c r="U75" s="27">
        <v>5479.28</v>
      </c>
      <c r="V75" s="27">
        <v>5462.67</v>
      </c>
      <c r="W75" s="27">
        <v>5455.83</v>
      </c>
      <c r="X75" s="28">
        <f t="shared" si="19"/>
        <v>10886.4</v>
      </c>
      <c r="Y75" s="29">
        <f t="shared" si="20"/>
        <v>12096</v>
      </c>
      <c r="Z75" s="30">
        <v>3590396.52</v>
      </c>
      <c r="AA75" s="30">
        <v>3322545</v>
      </c>
      <c r="AB75" s="30">
        <v>3353104</v>
      </c>
      <c r="AC75" s="30">
        <v>3407496</v>
      </c>
      <c r="AD75" s="30">
        <v>3466599</v>
      </c>
      <c r="AE75" s="149">
        <v>3536057</v>
      </c>
      <c r="AF75" s="151" t="str">
        <f>IFERROR(VLOOKUP(C75,'2_LN_DadosExportados'!V:V,1,FALSE),"")</f>
        <v/>
      </c>
      <c r="AG75" t="str" cm="1">
        <f t="array" ref="AG75">IF(AND(ISERR(FIND("sim",INDEX('existencia de wc'!K$2:K$193,MATCH(IP_WC!C75,'existencia de wc'!B$2:B$192,0))))=FALSE,SUMPRODUCT(('2_LN_DadosExportados'!V$2:V$314=IP_WC!C75)*('2_LN_DadosExportados'!A$2:A$314="X"))&gt;0), "MOSTRAR","")</f>
        <v/>
      </c>
    </row>
    <row r="76" spans="1:33" ht="15.75" thickBot="1" x14ac:dyDescent="0.3">
      <c r="A76" s="153" t="str">
        <f t="shared" si="18"/>
        <v>INVEST</v>
      </c>
      <c r="B76" s="152" t="s">
        <v>809</v>
      </c>
      <c r="C76" s="19" t="s">
        <v>75</v>
      </c>
      <c r="D76" s="21">
        <v>0</v>
      </c>
      <c r="E76" s="144" t="str">
        <f>IFERROR(((SUMIFS('2_LN_DadosExportados'!AM:AM,'2_LN_DadosExportados'!$V:$V,$C76,'2_LN_DadosExportados'!$A:$A,"X")+R76)/$X76)*$D76,"")</f>
        <v/>
      </c>
      <c r="F76" s="144" t="str">
        <f>IFERROR(((SUMIFS('2_LN_DadosExportados'!AN:AN,'2_LN_DadosExportados'!$V:$V,$C76,'2_LN_DadosExportados'!$A:$A,"X")+S76)/$X76)*$D76,"")</f>
        <v/>
      </c>
      <c r="G76" s="144" t="str">
        <f>IFERROR(((SUMIFS('2_LN_DadosExportados'!AO:AO,'2_LN_DadosExportados'!$V:$V,$C76,'2_LN_DadosExportados'!$A:$A,"X")+T76)/$X76)*$D76,"")</f>
        <v/>
      </c>
      <c r="H76" s="144" t="str">
        <f>IFERROR(((SUMIFS('2_LN_DadosExportados'!AP:AP,'2_LN_DadosExportados'!$V:$V,$C76,'2_LN_DadosExportados'!$A:$A,"X")+U76)/$X76)*$D76,"")</f>
        <v/>
      </c>
      <c r="I76" s="144" t="str">
        <f>IFERROR(((SUMIFS('2_LN_DadosExportados'!AQ:AQ,'2_LN_DadosExportados'!$V:$V,$C76,'2_LN_DadosExportados'!$A:$A,"X")+V76)/$X76)*$D76,"")</f>
        <v/>
      </c>
      <c r="J76" s="144" t="str">
        <f>IFERROR(((SUMIFS('2_LN_DadosExportados'!AR:AR,'2_LN_DadosExportados'!$V:$V,$C76,'2_LN_DadosExportados'!$A:$A,"X")+W76)/$X76)*$D76,"")</f>
        <v/>
      </c>
      <c r="K76" s="142" t="str">
        <f t="shared" si="11"/>
        <v/>
      </c>
      <c r="L76" s="142" t="str">
        <f t="shared" si="13"/>
        <v/>
      </c>
      <c r="M76" s="142" t="str">
        <f t="shared" si="14"/>
        <v/>
      </c>
      <c r="N76" s="142" t="str">
        <f t="shared" si="15"/>
        <v/>
      </c>
      <c r="O76" s="142" t="str">
        <f t="shared" si="16"/>
        <v/>
      </c>
      <c r="P76" s="142" t="str">
        <f t="shared" si="17"/>
        <v/>
      </c>
      <c r="Q76" s="23">
        <v>0</v>
      </c>
      <c r="R76" s="27">
        <v>0</v>
      </c>
      <c r="S76" s="27">
        <v>0</v>
      </c>
      <c r="T76" s="27">
        <v>0</v>
      </c>
      <c r="U76" s="27">
        <v>0</v>
      </c>
      <c r="V76" s="27">
        <v>0</v>
      </c>
      <c r="W76" s="27">
        <v>0</v>
      </c>
      <c r="X76" s="28">
        <f t="shared" si="19"/>
        <v>0</v>
      </c>
      <c r="Y76" s="29">
        <f t="shared" si="20"/>
        <v>0</v>
      </c>
      <c r="Z76" s="30">
        <v>38993472.520000003</v>
      </c>
      <c r="AA76" s="30">
        <v>29751089</v>
      </c>
      <c r="AB76" s="30">
        <v>34273629</v>
      </c>
      <c r="AC76" s="30">
        <v>38794526</v>
      </c>
      <c r="AD76" s="30">
        <v>43308402</v>
      </c>
      <c r="AE76" s="149">
        <v>48007557</v>
      </c>
      <c r="AF76" s="151" t="str">
        <f>IFERROR(VLOOKUP(C76,'2_LN_DadosExportados'!V:V,1,FALSE),"")</f>
        <v>WC - Auditoria Final</v>
      </c>
      <c r="AG76" t="str" cm="1">
        <f t="array" ref="AG76">IF(AND(ISERR(FIND("sim",INDEX('existencia de wc'!K$2:K$193,MATCH(IP_WC!C76,'existencia de wc'!B$2:B$192,0))))=FALSE,SUMPRODUCT(('2_LN_DadosExportados'!V$2:V$314=IP_WC!C76)*('2_LN_DadosExportados'!A$2:A$314="X"))&gt;0), "MOSTRAR","")</f>
        <v/>
      </c>
    </row>
    <row r="77" spans="1:33" ht="15.75" thickBot="1" x14ac:dyDescent="0.3">
      <c r="A77" s="153" t="str">
        <f t="shared" si="18"/>
        <v>INVEST</v>
      </c>
      <c r="B77" s="152" t="s">
        <v>810</v>
      </c>
      <c r="C77" s="19" t="s">
        <v>811</v>
      </c>
      <c r="D77" s="21">
        <v>0</v>
      </c>
      <c r="E77" s="144" t="str">
        <f>IFERROR(((SUMIFS('2_LN_DadosExportados'!AM:AM,'2_LN_DadosExportados'!$V:$V,$C77,'2_LN_DadosExportados'!$A:$A,"X")+R77)/$X77)*$D77,"")</f>
        <v/>
      </c>
      <c r="F77" s="144" t="str">
        <f>IFERROR(((SUMIFS('2_LN_DadosExportados'!AN:AN,'2_LN_DadosExportados'!$V:$V,$C77,'2_LN_DadosExportados'!$A:$A,"X")+S77)/$X77)*$D77,"")</f>
        <v/>
      </c>
      <c r="G77" s="144" t="str">
        <f>IFERROR(((SUMIFS('2_LN_DadosExportados'!AO:AO,'2_LN_DadosExportados'!$V:$V,$C77,'2_LN_DadosExportados'!$A:$A,"X")+T77)/$X77)*$D77,"")</f>
        <v/>
      </c>
      <c r="H77" s="144" t="str">
        <f>IFERROR(((SUMIFS('2_LN_DadosExportados'!AP:AP,'2_LN_DadosExportados'!$V:$V,$C77,'2_LN_DadosExportados'!$A:$A,"X")+U77)/$X77)*$D77,"")</f>
        <v/>
      </c>
      <c r="I77" s="144" t="str">
        <f>IFERROR(((SUMIFS('2_LN_DadosExportados'!AQ:AQ,'2_LN_DadosExportados'!$V:$V,$C77,'2_LN_DadosExportados'!$A:$A,"X")+V77)/$X77)*$D77,"")</f>
        <v/>
      </c>
      <c r="J77" s="144" t="str">
        <f>IFERROR(((SUMIFS('2_LN_DadosExportados'!AR:AR,'2_LN_DadosExportados'!$V:$V,$C77,'2_LN_DadosExportados'!$A:$A,"X")+W77)/$X77)*$D77,"")</f>
        <v/>
      </c>
      <c r="K77" s="142" t="str">
        <f t="shared" si="11"/>
        <v/>
      </c>
      <c r="L77" s="142" t="str">
        <f t="shared" si="13"/>
        <v/>
      </c>
      <c r="M77" s="142" t="str">
        <f t="shared" si="14"/>
        <v/>
      </c>
      <c r="N77" s="142" t="str">
        <f t="shared" si="15"/>
        <v/>
      </c>
      <c r="O77" s="142" t="str">
        <f t="shared" si="16"/>
        <v/>
      </c>
      <c r="P77" s="142" t="str">
        <f t="shared" si="17"/>
        <v/>
      </c>
      <c r="Q77" s="23">
        <v>0</v>
      </c>
      <c r="R77" s="27">
        <v>479.18</v>
      </c>
      <c r="S77" s="27">
        <v>441</v>
      </c>
      <c r="T77" s="27">
        <v>415.92</v>
      </c>
      <c r="U77" s="27">
        <v>404.2</v>
      </c>
      <c r="V77" s="27">
        <v>393.58</v>
      </c>
      <c r="W77" s="27">
        <v>387.31</v>
      </c>
      <c r="X77" s="28">
        <f t="shared" si="19"/>
        <v>0</v>
      </c>
      <c r="Y77" s="29">
        <f t="shared" si="20"/>
        <v>0</v>
      </c>
      <c r="Z77" s="30">
        <v>832382</v>
      </c>
      <c r="AA77" s="30">
        <v>627990</v>
      </c>
      <c r="AB77" s="30">
        <v>598549</v>
      </c>
      <c r="AC77" s="30">
        <v>589941</v>
      </c>
      <c r="AD77" s="30">
        <v>582894</v>
      </c>
      <c r="AE77" s="149">
        <v>582894</v>
      </c>
      <c r="AF77" s="151" t="str">
        <f>IFERROR(VLOOKUP(C77,'2_LN_DadosExportados'!V:V,1,FALSE),"")</f>
        <v/>
      </c>
      <c r="AG77" t="str" cm="1">
        <f t="array" ref="AG77">IF(AND(ISERR(FIND("sim",INDEX('existencia de wc'!K$2:K$193,MATCH(IP_WC!C77,'existencia de wc'!B$2:B$192,0))))=FALSE,SUMPRODUCT(('2_LN_DadosExportados'!V$2:V$314=IP_WC!C77)*('2_LN_DadosExportados'!A$2:A$314="X"))&gt;0), "MOSTRAR","")</f>
        <v/>
      </c>
    </row>
    <row r="78" spans="1:33" ht="15.75" thickBot="1" x14ac:dyDescent="0.3">
      <c r="A78" s="153" t="str">
        <f t="shared" si="18"/>
        <v>INVEST</v>
      </c>
      <c r="B78" s="152" t="s">
        <v>270</v>
      </c>
      <c r="C78" s="19" t="s">
        <v>270</v>
      </c>
      <c r="D78" s="21">
        <v>0</v>
      </c>
      <c r="E78" s="144" t="str">
        <f>IFERROR(((SUMIFS('2_LN_DadosExportados'!AM:AM,'2_LN_DadosExportados'!$V:$V,$C78,'2_LN_DadosExportados'!$A:$A,"X")+R78)/$X78)*$D78,"")</f>
        <v/>
      </c>
      <c r="F78" s="144" t="str">
        <f>IFERROR(((SUMIFS('2_LN_DadosExportados'!AN:AN,'2_LN_DadosExportados'!$V:$V,$C78,'2_LN_DadosExportados'!$A:$A,"X")+S78)/$X78)*$D78,"")</f>
        <v/>
      </c>
      <c r="G78" s="144" t="str">
        <f>IFERROR(((SUMIFS('2_LN_DadosExportados'!AO:AO,'2_LN_DadosExportados'!$V:$V,$C78,'2_LN_DadosExportados'!$A:$A,"X")+T78)/$X78)*$D78,"")</f>
        <v/>
      </c>
      <c r="H78" s="144" t="str">
        <f>IFERROR(((SUMIFS('2_LN_DadosExportados'!AP:AP,'2_LN_DadosExportados'!$V:$V,$C78,'2_LN_DadosExportados'!$A:$A,"X")+U78)/$X78)*$D78,"")</f>
        <v/>
      </c>
      <c r="I78" s="144" t="str">
        <f>IFERROR(((SUMIFS('2_LN_DadosExportados'!AQ:AQ,'2_LN_DadosExportados'!$V:$V,$C78,'2_LN_DadosExportados'!$A:$A,"X")+V78)/$X78)*$D78,"")</f>
        <v/>
      </c>
      <c r="J78" s="144" t="str">
        <f>IFERROR(((SUMIFS('2_LN_DadosExportados'!AR:AR,'2_LN_DadosExportados'!$V:$V,$C78,'2_LN_DadosExportados'!$A:$A,"X")+W78)/$X78)*$D78,"")</f>
        <v/>
      </c>
      <c r="K78" s="142" t="str">
        <f t="shared" si="11"/>
        <v/>
      </c>
      <c r="L78" s="142" t="str">
        <f t="shared" si="13"/>
        <v/>
      </c>
      <c r="M78" s="142" t="str">
        <f t="shared" si="14"/>
        <v/>
      </c>
      <c r="N78" s="142" t="str">
        <f t="shared" si="15"/>
        <v/>
      </c>
      <c r="O78" s="142" t="str">
        <f t="shared" si="16"/>
        <v/>
      </c>
      <c r="P78" s="142" t="str">
        <f t="shared" si="17"/>
        <v/>
      </c>
      <c r="Q78" s="23">
        <v>0</v>
      </c>
      <c r="R78" s="27">
        <v>0</v>
      </c>
      <c r="S78" s="27">
        <v>0</v>
      </c>
      <c r="T78" s="27">
        <v>0</v>
      </c>
      <c r="U78" s="27">
        <v>0</v>
      </c>
      <c r="V78" s="27">
        <v>0</v>
      </c>
      <c r="W78" s="27">
        <v>0</v>
      </c>
      <c r="X78" s="28">
        <f t="shared" si="19"/>
        <v>0</v>
      </c>
      <c r="Y78" s="29">
        <f t="shared" si="20"/>
        <v>0</v>
      </c>
      <c r="Z78" s="30">
        <v>5085629</v>
      </c>
      <c r="AA78" s="30">
        <v>1932059</v>
      </c>
      <c r="AB78" s="30">
        <v>1824639</v>
      </c>
      <c r="AC78" s="30">
        <v>1717220</v>
      </c>
      <c r="AD78" s="30">
        <v>1609800</v>
      </c>
      <c r="AE78" s="149">
        <v>1556090</v>
      </c>
      <c r="AF78" s="151" t="str">
        <f>IFERROR(VLOOKUP(C78,'2_LN_DadosExportados'!V:V,1,FALSE),"")</f>
        <v/>
      </c>
      <c r="AG78" t="str" cm="1">
        <f t="array" ref="AG78">IF(AND(ISERR(FIND("sim",INDEX('existencia de wc'!K$2:K$193,MATCH(IP_WC!C78,'existencia de wc'!B$2:B$192,0))))=FALSE,SUMPRODUCT(('2_LN_DadosExportados'!V$2:V$314=IP_WC!C78)*('2_LN_DadosExportados'!A$2:A$314="X"))&gt;0), "MOSTRAR","")</f>
        <v/>
      </c>
    </row>
  </sheetData>
  <autoFilter ref="A2:AG78" xr:uid="{4F07DA51-1A7C-43EF-A07E-14D02033ABB2}"/>
  <mergeCells count="5">
    <mergeCell ref="B1:C1"/>
    <mergeCell ref="K1:P1"/>
    <mergeCell ref="R1:W1"/>
    <mergeCell ref="Z1:AE1"/>
    <mergeCell ref="E1:J1"/>
  </mergeCells>
  <conditionalFormatting sqref="A4:A78">
    <cfRule type="cellIs" dxfId="3" priority="1" operator="equal">
      <formula>"INVEST"</formula>
    </cfRule>
    <cfRule type="cellIs" dxfId="2" priority="2" operator="equal">
      <formula>"OK"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9021-DDF7-4297-ACE4-332DB6CF7AA8}">
  <dimension ref="A1:AQ21"/>
  <sheetViews>
    <sheetView zoomScale="85" zoomScaleNormal="85" workbookViewId="0">
      <pane ySplit="1" topLeftCell="A2" activePane="bottomLeft" state="frozen"/>
      <selection pane="bottomLeft" activeCell="H25" sqref="H25"/>
    </sheetView>
  </sheetViews>
  <sheetFormatPr defaultRowHeight="15" x14ac:dyDescent="0.25"/>
  <cols>
    <col min="1" max="1" width="14.85546875" bestFit="1" customWidth="1"/>
    <col min="2" max="2" width="3.7109375" style="2" bestFit="1" customWidth="1"/>
    <col min="3" max="3" width="13" style="132" bestFit="1" customWidth="1"/>
    <col min="4" max="4" width="29.42578125" style="2" bestFit="1" customWidth="1"/>
    <col min="5" max="5" width="3.7109375" style="2" bestFit="1" customWidth="1"/>
    <col min="6" max="6" width="17" style="2" customWidth="1"/>
    <col min="7" max="7" width="3.7109375" style="2" bestFit="1" customWidth="1"/>
    <col min="8" max="8" width="18.42578125" style="2" bestFit="1" customWidth="1"/>
    <col min="9" max="9" width="5.5703125" style="2" bestFit="1" customWidth="1"/>
    <col min="10" max="12" width="3.7109375" style="2" bestFit="1" customWidth="1"/>
    <col min="13" max="13" width="4" style="2" bestFit="1" customWidth="1"/>
    <col min="14" max="15" width="3.7109375" style="2" bestFit="1" customWidth="1"/>
    <col min="16" max="17" width="4.7109375" style="2" bestFit="1" customWidth="1"/>
    <col min="18" max="18" width="8.28515625" style="132" bestFit="1" customWidth="1"/>
    <col min="19" max="19" width="11.7109375" style="2" bestFit="1" customWidth="1"/>
    <col min="20" max="20" width="31.5703125" style="2" bestFit="1" customWidth="1"/>
    <col min="21" max="21" width="11.7109375" style="132" bestFit="1" customWidth="1"/>
    <col min="22" max="22" width="30.140625" style="132" bestFit="1" customWidth="1"/>
    <col min="23" max="23" width="7" style="2" hidden="1" customWidth="1"/>
    <col min="24" max="24" width="35.42578125" style="2" hidden="1" customWidth="1"/>
    <col min="25" max="25" width="8.28515625" style="2" hidden="1" customWidth="1"/>
    <col min="26" max="26" width="9.85546875" style="2" hidden="1" customWidth="1"/>
    <col min="27" max="27" width="9" style="2" hidden="1" customWidth="1"/>
    <col min="28" max="29" width="10.42578125" style="2" hidden="1" customWidth="1"/>
    <col min="30" max="30" width="8.140625" style="2" hidden="1" customWidth="1"/>
    <col min="31" max="31" width="10.42578125" style="2" hidden="1" customWidth="1"/>
    <col min="32" max="32" width="8.140625" style="2" hidden="1" customWidth="1"/>
    <col min="33" max="33" width="5" style="2" hidden="1" customWidth="1"/>
    <col min="34" max="34" width="3.7109375" style="2" hidden="1" customWidth="1"/>
    <col min="35" max="35" width="5" style="2" hidden="1" customWidth="1"/>
    <col min="36" max="36" width="3.7109375" style="2" hidden="1" customWidth="1"/>
    <col min="37" max="37" width="4.7109375" style="2" hidden="1" customWidth="1"/>
    <col min="38" max="38" width="0" hidden="1" customWidth="1"/>
    <col min="40" max="40" width="12" bestFit="1" customWidth="1"/>
  </cols>
  <sheetData>
    <row r="1" spans="1:43" s="139" customFormat="1" ht="189.75" x14ac:dyDescent="0.25">
      <c r="C1" s="140" t="s">
        <v>12</v>
      </c>
      <c r="D1" s="136" t="s">
        <v>13</v>
      </c>
      <c r="E1" s="136" t="s">
        <v>14</v>
      </c>
      <c r="F1" s="136" t="s">
        <v>13</v>
      </c>
      <c r="G1" s="136" t="s">
        <v>15</v>
      </c>
      <c r="H1" s="136" t="s">
        <v>13</v>
      </c>
      <c r="I1" s="136" t="s">
        <v>16</v>
      </c>
      <c r="J1" s="136" t="s">
        <v>13</v>
      </c>
      <c r="K1" s="136" t="s">
        <v>13</v>
      </c>
      <c r="L1" s="136" t="s">
        <v>13</v>
      </c>
      <c r="M1" s="136" t="s">
        <v>17</v>
      </c>
      <c r="N1" s="136" t="s">
        <v>13</v>
      </c>
      <c r="O1" s="136" t="s">
        <v>18</v>
      </c>
      <c r="P1" s="136" t="s">
        <v>19</v>
      </c>
      <c r="Q1" s="136" t="s">
        <v>20</v>
      </c>
      <c r="R1" s="140" t="s">
        <v>21</v>
      </c>
      <c r="S1" s="136" t="s">
        <v>22</v>
      </c>
      <c r="T1" s="136" t="s">
        <v>13</v>
      </c>
      <c r="U1" s="140" t="s">
        <v>23</v>
      </c>
      <c r="V1" s="140" t="s">
        <v>13</v>
      </c>
      <c r="W1" s="136" t="s">
        <v>24</v>
      </c>
      <c r="X1" s="136" t="s">
        <v>13</v>
      </c>
      <c r="Y1" s="136" t="s">
        <v>25</v>
      </c>
      <c r="Z1" s="136" t="s">
        <v>26</v>
      </c>
      <c r="AA1" s="136" t="s">
        <v>27</v>
      </c>
      <c r="AB1" s="137" t="s">
        <v>28</v>
      </c>
      <c r="AC1" s="138" t="s">
        <v>29</v>
      </c>
      <c r="AD1" s="137" t="s">
        <v>13</v>
      </c>
      <c r="AE1" s="138" t="s">
        <v>30</v>
      </c>
      <c r="AF1" s="136" t="s">
        <v>13</v>
      </c>
      <c r="AG1" s="136" t="s">
        <v>31</v>
      </c>
      <c r="AH1" s="136" t="s">
        <v>32</v>
      </c>
      <c r="AI1" s="136" t="s">
        <v>33</v>
      </c>
      <c r="AJ1" s="136" t="s">
        <v>34</v>
      </c>
      <c r="AK1" s="136" t="s">
        <v>35</v>
      </c>
      <c r="AM1">
        <v>2026</v>
      </c>
      <c r="AN1">
        <v>2027</v>
      </c>
      <c r="AO1">
        <v>2028</v>
      </c>
      <c r="AP1">
        <v>2029</v>
      </c>
      <c r="AQ1">
        <v>2030</v>
      </c>
    </row>
    <row r="2" spans="1:43" x14ac:dyDescent="0.25">
      <c r="A2" s="2">
        <f>VLOOKUP(C2,'1_RFQ_DadosVendas'!B:R,17,FALSE)</f>
        <v>0</v>
      </c>
      <c r="C2" s="132" t="s">
        <v>1045</v>
      </c>
      <c r="D2" s="2" t="s">
        <v>36</v>
      </c>
      <c r="E2" s="2">
        <v>13</v>
      </c>
      <c r="F2" s="2" t="s">
        <v>37</v>
      </c>
      <c r="G2" s="2">
        <v>1</v>
      </c>
      <c r="H2" s="2" t="s">
        <v>38</v>
      </c>
      <c r="I2" s="2">
        <v>1</v>
      </c>
      <c r="J2" s="2" t="s">
        <v>39</v>
      </c>
      <c r="M2" s="2">
        <v>20</v>
      </c>
      <c r="N2" s="2">
        <v>1</v>
      </c>
      <c r="O2" s="2">
        <v>0</v>
      </c>
      <c r="P2" s="2" t="s">
        <v>41</v>
      </c>
      <c r="Q2" s="2" t="s">
        <v>42</v>
      </c>
      <c r="R2" s="132">
        <v>1176</v>
      </c>
      <c r="S2" s="2">
        <v>3101</v>
      </c>
      <c r="T2" s="2" t="s">
        <v>45</v>
      </c>
      <c r="U2" s="132">
        <v>3100</v>
      </c>
      <c r="V2" s="132" t="s">
        <v>46</v>
      </c>
      <c r="W2" s="2">
        <v>1434</v>
      </c>
      <c r="X2" s="2" t="s">
        <v>47</v>
      </c>
      <c r="Y2" s="2">
        <v>90</v>
      </c>
      <c r="Z2" s="2" t="s">
        <v>41</v>
      </c>
      <c r="AA2" s="2">
        <v>5.0999999999999997E-2</v>
      </c>
      <c r="AB2" s="4">
        <v>0</v>
      </c>
      <c r="AC2" s="4">
        <v>42094</v>
      </c>
      <c r="AD2" s="5">
        <v>0.44721064814814815</v>
      </c>
      <c r="AE2" s="4">
        <v>50424</v>
      </c>
      <c r="AF2" s="5">
        <v>5.1469907407407409E-2</v>
      </c>
      <c r="AG2" s="2">
        <v>0</v>
      </c>
      <c r="AH2" s="2">
        <v>1</v>
      </c>
      <c r="AI2" s="2">
        <v>0.7</v>
      </c>
      <c r="AJ2" s="2">
        <v>1</v>
      </c>
      <c r="AK2" s="2" t="s">
        <v>41</v>
      </c>
      <c r="AM2">
        <f>IFERROR(VLOOKUP(C2,'1_RFQ_DadosVendas'!B:Q,12,FALSE)/$R2,"")</f>
        <v>170.06802721088437</v>
      </c>
      <c r="AN2">
        <f>IFERROR(VLOOKUP($C2,'1_RFQ_DadosVendas'!$B:$Q,13,FALSE)/$R2,"")</f>
        <v>170.06802721088437</v>
      </c>
      <c r="AO2">
        <f>IFERROR(VLOOKUP($C2,'1_RFQ_DadosVendas'!$B:$Q,14,FALSE)/$R2,"")</f>
        <v>170.06802721088437</v>
      </c>
      <c r="AP2">
        <f>IFERROR(VLOOKUP($C2,'1_RFQ_DadosVendas'!$B:$Q,15,FALSE)/$R2,"")</f>
        <v>170.06802721088437</v>
      </c>
      <c r="AQ2">
        <f>IFERROR(VLOOKUP($C2,'1_RFQ_DadosVendas'!$B:$Q,16,FALSE)/$R2,"")</f>
        <v>170.06802721088437</v>
      </c>
    </row>
    <row r="3" spans="1:43" x14ac:dyDescent="0.25">
      <c r="A3" s="2">
        <f>VLOOKUP(C3,'1_RFQ_DadosVendas'!B:R,17,FALSE)</f>
        <v>0</v>
      </c>
      <c r="C3" s="132" t="s">
        <v>1045</v>
      </c>
      <c r="D3" s="2" t="s">
        <v>36</v>
      </c>
      <c r="E3" s="2">
        <v>13</v>
      </c>
      <c r="F3" s="2" t="s">
        <v>37</v>
      </c>
      <c r="G3" s="2">
        <v>1</v>
      </c>
      <c r="H3" s="2" t="s">
        <v>38</v>
      </c>
      <c r="I3" s="2">
        <v>1</v>
      </c>
      <c r="J3" s="2" t="s">
        <v>39</v>
      </c>
      <c r="M3" s="2">
        <v>30</v>
      </c>
      <c r="N3" s="2">
        <v>1</v>
      </c>
      <c r="O3" s="2">
        <v>0</v>
      </c>
      <c r="P3" s="2" t="s">
        <v>41</v>
      </c>
      <c r="Q3" s="2" t="s">
        <v>42</v>
      </c>
      <c r="R3" s="132">
        <v>1176</v>
      </c>
      <c r="S3" s="2">
        <v>7302</v>
      </c>
      <c r="T3" s="2" t="s">
        <v>48</v>
      </c>
      <c r="U3" s="132">
        <v>7300</v>
      </c>
      <c r="V3" s="132" t="s">
        <v>49</v>
      </c>
      <c r="W3" s="2">
        <v>2201</v>
      </c>
      <c r="X3" s="2" t="s">
        <v>50</v>
      </c>
      <c r="Y3" s="2">
        <v>0</v>
      </c>
      <c r="Z3" s="2" t="s">
        <v>41</v>
      </c>
      <c r="AA3" s="2">
        <v>5.0999999999999997E-2</v>
      </c>
      <c r="AB3" s="4">
        <v>0</v>
      </c>
      <c r="AC3" s="4">
        <v>42094</v>
      </c>
      <c r="AD3" s="5">
        <v>0.44817129629629632</v>
      </c>
      <c r="AE3" s="4">
        <v>50424</v>
      </c>
      <c r="AF3" s="5">
        <v>5.1469907407407409E-2</v>
      </c>
      <c r="AG3" s="2">
        <v>0</v>
      </c>
      <c r="AH3" s="2">
        <v>0</v>
      </c>
      <c r="AI3" s="2">
        <v>0.12</v>
      </c>
      <c r="AJ3" s="2">
        <v>1</v>
      </c>
      <c r="AK3" s="2" t="s">
        <v>41</v>
      </c>
      <c r="AM3">
        <f>IFERROR(VLOOKUP(C3,'1_RFQ_DadosVendas'!B:Q,12,FALSE)/$R3,"")</f>
        <v>170.06802721088437</v>
      </c>
      <c r="AN3">
        <f>IFERROR(VLOOKUP($C3,'1_RFQ_DadosVendas'!$B:$Q,13,FALSE)/$R3,"")</f>
        <v>170.06802721088437</v>
      </c>
      <c r="AO3">
        <f>IFERROR(VLOOKUP($C3,'1_RFQ_DadosVendas'!$B:$Q,14,FALSE)/$R3,"")</f>
        <v>170.06802721088437</v>
      </c>
      <c r="AP3">
        <f>IFERROR(VLOOKUP($C3,'1_RFQ_DadosVendas'!$B:$Q,15,FALSE)/$R3,"")</f>
        <v>170.06802721088437</v>
      </c>
      <c r="AQ3">
        <f>IFERROR(VLOOKUP($C3,'1_RFQ_DadosVendas'!$B:$Q,16,FALSE)/$R3,"")</f>
        <v>170.06802721088437</v>
      </c>
    </row>
    <row r="4" spans="1:43" x14ac:dyDescent="0.25">
      <c r="A4" s="2">
        <f>VLOOKUP(C4,'1_RFQ_DadosVendas'!B:R,17,FALSE)</f>
        <v>0</v>
      </c>
      <c r="C4" s="132" t="s">
        <v>1045</v>
      </c>
      <c r="D4" s="2" t="s">
        <v>36</v>
      </c>
      <c r="E4" s="2">
        <v>13</v>
      </c>
      <c r="F4" s="2" t="s">
        <v>37</v>
      </c>
      <c r="G4" s="2">
        <v>1</v>
      </c>
      <c r="H4" s="2" t="s">
        <v>38</v>
      </c>
      <c r="I4" s="2">
        <v>1</v>
      </c>
      <c r="J4" s="2" t="s">
        <v>39</v>
      </c>
      <c r="M4" s="2">
        <v>40</v>
      </c>
      <c r="N4" s="2">
        <v>2</v>
      </c>
      <c r="O4" s="2">
        <v>0</v>
      </c>
      <c r="P4" s="2" t="s">
        <v>42</v>
      </c>
      <c r="Q4" s="2" t="s">
        <v>42</v>
      </c>
      <c r="R4" s="132">
        <v>2000</v>
      </c>
      <c r="S4" s="2">
        <v>8206</v>
      </c>
      <c r="T4" s="2" t="s">
        <v>51</v>
      </c>
      <c r="U4" s="132">
        <v>8101</v>
      </c>
      <c r="V4" s="132" t="s">
        <v>52</v>
      </c>
      <c r="W4" s="2">
        <v>908101</v>
      </c>
      <c r="X4" s="2" t="s">
        <v>53</v>
      </c>
      <c r="Y4" s="2">
        <v>0</v>
      </c>
      <c r="Z4" s="2" t="s">
        <v>41</v>
      </c>
      <c r="AA4" s="2">
        <v>0.03</v>
      </c>
      <c r="AB4" s="4">
        <v>0</v>
      </c>
      <c r="AC4" s="4">
        <v>45168</v>
      </c>
      <c r="AD4" s="5">
        <v>0.64762731481481484</v>
      </c>
      <c r="AE4" s="4">
        <v>50424</v>
      </c>
      <c r="AF4" s="5">
        <v>5.1469907407407409E-2</v>
      </c>
      <c r="AG4" s="2">
        <v>0</v>
      </c>
      <c r="AH4" s="2">
        <v>0</v>
      </c>
      <c r="AI4" s="2">
        <v>1</v>
      </c>
      <c r="AJ4" s="2">
        <v>1</v>
      </c>
      <c r="AK4" s="2" t="s">
        <v>41</v>
      </c>
      <c r="AM4">
        <f>IFERROR(VLOOKUP(C4,'1_RFQ_DadosVendas'!B:Q,12,FALSE)/$R4,"")</f>
        <v>100</v>
      </c>
      <c r="AN4">
        <f>IFERROR(VLOOKUP($C4,'1_RFQ_DadosVendas'!$B:$Q,13,FALSE)/$R4,"")</f>
        <v>100</v>
      </c>
      <c r="AO4">
        <f>IFERROR(VLOOKUP($C4,'1_RFQ_DadosVendas'!$B:$Q,14,FALSE)/$R4,"")</f>
        <v>100</v>
      </c>
      <c r="AP4">
        <f>IFERROR(VLOOKUP($C4,'1_RFQ_DadosVendas'!$B:$Q,15,FALSE)/$R4,"")</f>
        <v>100</v>
      </c>
      <c r="AQ4">
        <f>IFERROR(VLOOKUP($C4,'1_RFQ_DadosVendas'!$B:$Q,16,FALSE)/$R4,"")</f>
        <v>100</v>
      </c>
    </row>
    <row r="5" spans="1:43" x14ac:dyDescent="0.25">
      <c r="A5" s="2">
        <f>VLOOKUP(C5,'1_RFQ_DadosVendas'!B:R,17,FALSE)</f>
        <v>0</v>
      </c>
      <c r="C5" s="132" t="s">
        <v>1045</v>
      </c>
      <c r="D5" s="2" t="s">
        <v>36</v>
      </c>
      <c r="E5" s="2">
        <v>13</v>
      </c>
      <c r="F5" s="2" t="s">
        <v>37</v>
      </c>
      <c r="G5" s="2">
        <v>1</v>
      </c>
      <c r="H5" s="2" t="s">
        <v>38</v>
      </c>
      <c r="I5" s="2">
        <v>1</v>
      </c>
      <c r="J5" s="2" t="s">
        <v>39</v>
      </c>
      <c r="M5" s="2">
        <v>50</v>
      </c>
      <c r="N5" s="2">
        <v>1</v>
      </c>
      <c r="O5" s="2">
        <v>0</v>
      </c>
      <c r="P5" s="2" t="s">
        <v>41</v>
      </c>
      <c r="Q5" s="2" t="s">
        <v>42</v>
      </c>
      <c r="R5" s="132" t="s">
        <v>54</v>
      </c>
      <c r="S5" s="2">
        <v>8205</v>
      </c>
      <c r="T5" s="2" t="s">
        <v>55</v>
      </c>
      <c r="U5" s="132">
        <v>8205</v>
      </c>
      <c r="V5" s="132" t="s">
        <v>56</v>
      </c>
      <c r="W5" s="2">
        <v>8205</v>
      </c>
      <c r="X5" s="2" t="s">
        <v>57</v>
      </c>
      <c r="Y5" s="2">
        <v>0</v>
      </c>
      <c r="Z5" s="2" t="s">
        <v>41</v>
      </c>
      <c r="AA5" s="2">
        <v>0</v>
      </c>
      <c r="AB5" s="4">
        <v>0</v>
      </c>
      <c r="AC5" s="4">
        <v>45273</v>
      </c>
      <c r="AD5" s="5">
        <v>0.42454861111111108</v>
      </c>
      <c r="AE5" s="4">
        <v>50424</v>
      </c>
      <c r="AF5" s="5">
        <v>5.1469907407407409E-2</v>
      </c>
      <c r="AG5" s="2">
        <v>0</v>
      </c>
      <c r="AH5" s="2">
        <v>0</v>
      </c>
      <c r="AI5" s="2">
        <v>1</v>
      </c>
      <c r="AJ5" s="2">
        <v>1</v>
      </c>
      <c r="AK5" s="2" t="s">
        <v>42</v>
      </c>
      <c r="AM5" t="str">
        <f>IFERROR(VLOOKUP(C5,'1_RFQ_DadosVendas'!B:Q,12,FALSE)/$R5,"")</f>
        <v/>
      </c>
      <c r="AN5" t="str">
        <f>IFERROR(VLOOKUP($C5,'1_RFQ_DadosVendas'!$B:$Q,13,FALSE)/$R5,"")</f>
        <v/>
      </c>
      <c r="AO5" t="str">
        <f>IFERROR(VLOOKUP($C5,'1_RFQ_DadosVendas'!$B:$Q,14,FALSE)/$R5,"")</f>
        <v/>
      </c>
      <c r="AP5" t="str">
        <f>IFERROR(VLOOKUP($C5,'1_RFQ_DadosVendas'!$B:$Q,15,FALSE)/$R5,"")</f>
        <v/>
      </c>
      <c r="AQ5" t="str">
        <f>IFERROR(VLOOKUP($C5,'1_RFQ_DadosVendas'!$B:$Q,16,FALSE)/$R5,"")</f>
        <v/>
      </c>
    </row>
    <row r="6" spans="1:43" x14ac:dyDescent="0.25">
      <c r="A6" s="2">
        <f>VLOOKUP(C6,'1_RFQ_DadosVendas'!B:R,17,FALSE)</f>
        <v>0</v>
      </c>
      <c r="C6" s="132" t="s">
        <v>1045</v>
      </c>
      <c r="D6" s="2" t="s">
        <v>36</v>
      </c>
      <c r="E6" s="2">
        <v>13</v>
      </c>
      <c r="F6" s="2" t="s">
        <v>37</v>
      </c>
      <c r="G6" s="2">
        <v>1</v>
      </c>
      <c r="H6" s="2" t="s">
        <v>38</v>
      </c>
      <c r="I6" s="2">
        <v>1</v>
      </c>
      <c r="J6" s="2" t="s">
        <v>39</v>
      </c>
      <c r="M6" s="2">
        <v>60</v>
      </c>
      <c r="N6" s="2">
        <v>2</v>
      </c>
      <c r="O6" s="2">
        <v>0</v>
      </c>
      <c r="P6" s="2" t="s">
        <v>42</v>
      </c>
      <c r="Q6" s="2" t="s">
        <v>41</v>
      </c>
      <c r="R6" s="132" t="s">
        <v>54</v>
      </c>
      <c r="S6" s="2">
        <v>4201</v>
      </c>
      <c r="T6" s="2" t="s">
        <v>58</v>
      </c>
      <c r="U6" s="132">
        <v>4007</v>
      </c>
      <c r="V6" s="132" t="s">
        <v>59</v>
      </c>
      <c r="W6" s="2">
        <v>4007</v>
      </c>
      <c r="X6" s="2" t="s">
        <v>60</v>
      </c>
      <c r="Y6" s="2">
        <v>0</v>
      </c>
      <c r="Z6" s="2" t="s">
        <v>41</v>
      </c>
      <c r="AA6" s="2">
        <v>0</v>
      </c>
      <c r="AB6" s="4">
        <v>0</v>
      </c>
      <c r="AC6" s="4">
        <v>45170</v>
      </c>
      <c r="AD6" s="5">
        <v>0.64179398148148148</v>
      </c>
      <c r="AE6" s="4">
        <v>50424</v>
      </c>
      <c r="AF6" s="5">
        <v>5.1469907407407409E-2</v>
      </c>
      <c r="AG6" s="2">
        <v>1.4</v>
      </c>
      <c r="AH6" s="2">
        <v>0</v>
      </c>
      <c r="AI6" s="2">
        <v>1</v>
      </c>
      <c r="AJ6" s="2">
        <v>1</v>
      </c>
      <c r="AK6" s="2" t="s">
        <v>42</v>
      </c>
      <c r="AM6" t="str">
        <f>IFERROR(VLOOKUP(C6,'1_RFQ_DadosVendas'!B:Q,12,FALSE)/$R6,"")</f>
        <v/>
      </c>
      <c r="AN6" t="str">
        <f>IFERROR(VLOOKUP($C6,'1_RFQ_DadosVendas'!$B:$Q,13,FALSE)/$R6,"")</f>
        <v/>
      </c>
      <c r="AO6" t="str">
        <f>IFERROR(VLOOKUP($C6,'1_RFQ_DadosVendas'!$B:$Q,14,FALSE)/$R6,"")</f>
        <v/>
      </c>
      <c r="AP6" t="str">
        <f>IFERROR(VLOOKUP($C6,'1_RFQ_DadosVendas'!$B:$Q,15,FALSE)/$R6,"")</f>
        <v/>
      </c>
      <c r="AQ6" t="str">
        <f>IFERROR(VLOOKUP($C6,'1_RFQ_DadosVendas'!$B:$Q,16,FALSE)/$R6,"")</f>
        <v/>
      </c>
    </row>
    <row r="7" spans="1:43" x14ac:dyDescent="0.25">
      <c r="A7" s="2">
        <f>VLOOKUP(C7,'1_RFQ_DadosVendas'!B:R,17,FALSE)</f>
        <v>0</v>
      </c>
      <c r="C7" s="132" t="s">
        <v>1045</v>
      </c>
      <c r="D7" s="2" t="s">
        <v>36</v>
      </c>
      <c r="E7" s="2">
        <v>13</v>
      </c>
      <c r="F7" s="2" t="s">
        <v>37</v>
      </c>
      <c r="G7" s="2">
        <v>1</v>
      </c>
      <c r="H7" s="2" t="s">
        <v>38</v>
      </c>
      <c r="I7" s="2">
        <v>1</v>
      </c>
      <c r="J7" s="2" t="s">
        <v>39</v>
      </c>
      <c r="M7" s="2">
        <v>70</v>
      </c>
      <c r="N7" s="2">
        <v>2</v>
      </c>
      <c r="O7" s="2">
        <v>0</v>
      </c>
      <c r="P7" s="2" t="s">
        <v>41</v>
      </c>
      <c r="Q7" s="2" t="s">
        <v>42</v>
      </c>
      <c r="R7" s="132">
        <v>5000</v>
      </c>
      <c r="S7" s="2">
        <v>8406</v>
      </c>
      <c r="T7" s="2" t="s">
        <v>61</v>
      </c>
      <c r="U7" s="132">
        <v>8401</v>
      </c>
      <c r="V7" s="132" t="s">
        <v>62</v>
      </c>
      <c r="W7" s="2">
        <v>908301</v>
      </c>
      <c r="X7" s="2" t="s">
        <v>63</v>
      </c>
      <c r="Y7" s="2">
        <v>0</v>
      </c>
      <c r="Z7" s="2" t="s">
        <v>41</v>
      </c>
      <c r="AA7" s="2">
        <v>1.2E-2</v>
      </c>
      <c r="AB7" s="4">
        <v>0</v>
      </c>
      <c r="AC7" s="4">
        <v>45170</v>
      </c>
      <c r="AD7" s="5">
        <v>0.64156250000000004</v>
      </c>
      <c r="AE7" s="4">
        <v>50424</v>
      </c>
      <c r="AF7" s="5">
        <v>5.1469907407407409E-2</v>
      </c>
      <c r="AG7" s="2">
        <v>0</v>
      </c>
      <c r="AH7" s="2">
        <v>0</v>
      </c>
      <c r="AI7" s="2">
        <v>1</v>
      </c>
      <c r="AJ7" s="2">
        <v>1</v>
      </c>
      <c r="AK7" s="2" t="s">
        <v>41</v>
      </c>
      <c r="AM7">
        <f>IFERROR(VLOOKUP(C7,'1_RFQ_DadosVendas'!B:Q,12,FALSE)/$R7,"")</f>
        <v>40</v>
      </c>
      <c r="AN7">
        <f>IFERROR(VLOOKUP($C7,'1_RFQ_DadosVendas'!$B:$Q,13,FALSE)/$R7,"")</f>
        <v>40</v>
      </c>
      <c r="AO7">
        <f>IFERROR(VLOOKUP($C7,'1_RFQ_DadosVendas'!$B:$Q,14,FALSE)/$R7,"")</f>
        <v>40</v>
      </c>
      <c r="AP7">
        <f>IFERROR(VLOOKUP($C7,'1_RFQ_DadosVendas'!$B:$Q,15,FALSE)/$R7,"")</f>
        <v>40</v>
      </c>
      <c r="AQ7">
        <f>IFERROR(VLOOKUP($C7,'1_RFQ_DadosVendas'!$B:$Q,16,FALSE)/$R7,"")</f>
        <v>40</v>
      </c>
    </row>
    <row r="8" spans="1:43" x14ac:dyDescent="0.25">
      <c r="A8" s="2">
        <f>VLOOKUP(C8,'1_RFQ_DadosVendas'!B:R,17,FALSE)</f>
        <v>0</v>
      </c>
      <c r="C8" s="132" t="s">
        <v>1045</v>
      </c>
      <c r="D8" s="2" t="s">
        <v>36</v>
      </c>
      <c r="E8" s="2">
        <v>13</v>
      </c>
      <c r="F8" s="2" t="s">
        <v>37</v>
      </c>
      <c r="G8" s="2">
        <v>1</v>
      </c>
      <c r="H8" s="2" t="s">
        <v>38</v>
      </c>
      <c r="I8" s="2">
        <v>1</v>
      </c>
      <c r="J8" s="2" t="s">
        <v>39</v>
      </c>
      <c r="M8" s="2">
        <v>80</v>
      </c>
      <c r="N8" s="2">
        <v>1</v>
      </c>
      <c r="O8" s="2">
        <v>0</v>
      </c>
      <c r="P8" s="2" t="s">
        <v>41</v>
      </c>
      <c r="Q8" s="2" t="s">
        <v>41</v>
      </c>
      <c r="R8" s="132">
        <v>50</v>
      </c>
      <c r="S8" s="2">
        <v>6201</v>
      </c>
      <c r="T8" s="2" t="s">
        <v>64</v>
      </c>
      <c r="U8" s="132">
        <v>6203</v>
      </c>
      <c r="V8" s="132" t="s">
        <v>65</v>
      </c>
      <c r="W8" s="2">
        <v>2783</v>
      </c>
      <c r="X8" s="2" t="s">
        <v>66</v>
      </c>
      <c r="Y8" s="2">
        <v>210</v>
      </c>
      <c r="Z8" s="2" t="s">
        <v>42</v>
      </c>
      <c r="AA8" s="2">
        <v>1.2</v>
      </c>
      <c r="AB8" s="4">
        <v>99</v>
      </c>
      <c r="AC8" s="4">
        <v>45170</v>
      </c>
      <c r="AD8" s="5">
        <v>0.64128472222222221</v>
      </c>
      <c r="AE8" s="4">
        <v>50424</v>
      </c>
      <c r="AF8" s="5">
        <v>5.1469907407407409E-2</v>
      </c>
      <c r="AG8" s="2">
        <v>0</v>
      </c>
      <c r="AH8" s="2">
        <v>1</v>
      </c>
      <c r="AI8" s="2">
        <v>1</v>
      </c>
      <c r="AJ8" s="2">
        <v>1</v>
      </c>
      <c r="AK8" s="2" t="s">
        <v>41</v>
      </c>
      <c r="AM8">
        <f>IFERROR(VLOOKUP(C8,'1_RFQ_DadosVendas'!B:Q,12,FALSE)/$R8,"")</f>
        <v>4000</v>
      </c>
      <c r="AN8">
        <f>IFERROR(VLOOKUP($C8,'1_RFQ_DadosVendas'!$B:$Q,13,FALSE)/$R8,"")</f>
        <v>4000</v>
      </c>
      <c r="AO8">
        <f>IFERROR(VLOOKUP($C8,'1_RFQ_DadosVendas'!$B:$Q,14,FALSE)/$R8,"")</f>
        <v>4000</v>
      </c>
      <c r="AP8">
        <f>IFERROR(VLOOKUP($C8,'1_RFQ_DadosVendas'!$B:$Q,15,FALSE)/$R8,"")</f>
        <v>4000</v>
      </c>
      <c r="AQ8">
        <f>IFERROR(VLOOKUP($C8,'1_RFQ_DadosVendas'!$B:$Q,16,FALSE)/$R8,"")</f>
        <v>4000</v>
      </c>
    </row>
    <row r="9" spans="1:43" x14ac:dyDescent="0.25">
      <c r="A9" s="2">
        <f>VLOOKUP(C9,'1_RFQ_DadosVendas'!B:R,17,FALSE)</f>
        <v>0</v>
      </c>
      <c r="C9" s="132" t="s">
        <v>1045</v>
      </c>
      <c r="D9" s="2" t="s">
        <v>36</v>
      </c>
      <c r="E9" s="2">
        <v>13</v>
      </c>
      <c r="F9" s="2" t="s">
        <v>37</v>
      </c>
      <c r="G9" s="2">
        <v>1</v>
      </c>
      <c r="H9" s="2" t="s">
        <v>38</v>
      </c>
      <c r="I9" s="2">
        <v>1</v>
      </c>
      <c r="J9" s="2" t="s">
        <v>39</v>
      </c>
      <c r="M9" s="2">
        <v>90</v>
      </c>
      <c r="N9" s="2">
        <v>1</v>
      </c>
      <c r="O9" s="2">
        <v>0</v>
      </c>
      <c r="P9" s="2" t="s">
        <v>41</v>
      </c>
      <c r="Q9" s="2" t="s">
        <v>42</v>
      </c>
      <c r="R9" s="132">
        <v>400</v>
      </c>
      <c r="S9" s="2">
        <v>8301</v>
      </c>
      <c r="T9" s="2" t="s">
        <v>67</v>
      </c>
      <c r="U9" s="132">
        <v>8302</v>
      </c>
      <c r="V9" s="132" t="s">
        <v>68</v>
      </c>
      <c r="W9" s="2">
        <v>908401</v>
      </c>
      <c r="X9" s="2" t="s">
        <v>69</v>
      </c>
      <c r="Y9" s="2">
        <v>0</v>
      </c>
      <c r="Z9" s="2" t="s">
        <v>41</v>
      </c>
      <c r="AA9" s="2">
        <v>0.15</v>
      </c>
      <c r="AB9" s="4">
        <v>0</v>
      </c>
      <c r="AC9" s="4">
        <v>45168</v>
      </c>
      <c r="AD9" s="5">
        <v>0.6507060185185185</v>
      </c>
      <c r="AE9" s="4">
        <v>50424</v>
      </c>
      <c r="AF9" s="5">
        <v>5.1469907407407409E-2</v>
      </c>
      <c r="AG9" s="2">
        <v>0</v>
      </c>
      <c r="AH9" s="2">
        <v>0</v>
      </c>
      <c r="AI9" s="2">
        <v>1</v>
      </c>
      <c r="AJ9" s="2">
        <v>1</v>
      </c>
      <c r="AK9" s="2" t="s">
        <v>41</v>
      </c>
      <c r="AM9">
        <f>IFERROR(VLOOKUP(C9,'1_RFQ_DadosVendas'!B:Q,12,FALSE)/$R9,"")</f>
        <v>500</v>
      </c>
      <c r="AN9">
        <f>IFERROR(VLOOKUP($C9,'1_RFQ_DadosVendas'!$B:$Q,13,FALSE)/$R9,"")</f>
        <v>500</v>
      </c>
      <c r="AO9">
        <f>IFERROR(VLOOKUP($C9,'1_RFQ_DadosVendas'!$B:$Q,14,FALSE)/$R9,"")</f>
        <v>500</v>
      </c>
      <c r="AP9">
        <f>IFERROR(VLOOKUP($C9,'1_RFQ_DadosVendas'!$B:$Q,15,FALSE)/$R9,"")</f>
        <v>500</v>
      </c>
      <c r="AQ9">
        <f>IFERROR(VLOOKUP($C9,'1_RFQ_DadosVendas'!$B:$Q,16,FALSE)/$R9,"")</f>
        <v>500</v>
      </c>
    </row>
    <row r="10" spans="1:43" x14ac:dyDescent="0.25">
      <c r="A10" s="2">
        <f>VLOOKUP(C10,'1_RFQ_DadosVendas'!B:R,17,FALSE)</f>
        <v>0</v>
      </c>
      <c r="C10" s="132" t="s">
        <v>1045</v>
      </c>
      <c r="D10" s="2" t="s">
        <v>36</v>
      </c>
      <c r="E10" s="2">
        <v>13</v>
      </c>
      <c r="F10" s="2" t="s">
        <v>37</v>
      </c>
      <c r="G10" s="2">
        <v>1</v>
      </c>
      <c r="H10" s="2" t="s">
        <v>38</v>
      </c>
      <c r="I10" s="2">
        <v>1</v>
      </c>
      <c r="J10" s="2" t="s">
        <v>39</v>
      </c>
      <c r="M10" s="2">
        <v>100</v>
      </c>
      <c r="N10" s="2">
        <v>1</v>
      </c>
      <c r="O10" s="2">
        <v>0</v>
      </c>
      <c r="P10" s="2" t="s">
        <v>41</v>
      </c>
      <c r="Q10" s="2" t="s">
        <v>41</v>
      </c>
      <c r="R10" s="132">
        <v>300</v>
      </c>
      <c r="S10" s="2">
        <v>8410</v>
      </c>
      <c r="T10" s="2" t="s">
        <v>70</v>
      </c>
      <c r="U10" s="132">
        <v>8401</v>
      </c>
      <c r="V10" s="132" t="s">
        <v>62</v>
      </c>
      <c r="W10" s="2">
        <v>908301</v>
      </c>
      <c r="X10" s="2" t="s">
        <v>63</v>
      </c>
      <c r="Y10" s="2">
        <v>60</v>
      </c>
      <c r="Z10" s="2" t="s">
        <v>41</v>
      </c>
      <c r="AA10" s="2">
        <v>0.2</v>
      </c>
      <c r="AB10" s="4">
        <v>0</v>
      </c>
      <c r="AC10" s="4">
        <v>45273</v>
      </c>
      <c r="AD10" s="5">
        <v>0.42982638888888891</v>
      </c>
      <c r="AE10" s="4">
        <v>50424</v>
      </c>
      <c r="AF10" s="5">
        <v>5.1469907407407409E-2</v>
      </c>
      <c r="AG10" s="2">
        <v>0</v>
      </c>
      <c r="AH10" s="2">
        <v>1</v>
      </c>
      <c r="AI10" s="2">
        <v>1</v>
      </c>
      <c r="AJ10" s="2">
        <v>1</v>
      </c>
      <c r="AK10" s="2" t="s">
        <v>41</v>
      </c>
      <c r="AM10">
        <f>IFERROR(VLOOKUP(C10,'1_RFQ_DadosVendas'!B:Q,12,FALSE)/$R10,"")</f>
        <v>666.66666666666663</v>
      </c>
      <c r="AN10">
        <f>IFERROR(VLOOKUP($C10,'1_RFQ_DadosVendas'!$B:$Q,13,FALSE)/$R10,"")</f>
        <v>666.66666666666663</v>
      </c>
      <c r="AO10">
        <f>IFERROR(VLOOKUP($C10,'1_RFQ_DadosVendas'!$B:$Q,14,FALSE)/$R10,"")</f>
        <v>666.66666666666663</v>
      </c>
      <c r="AP10">
        <f>IFERROR(VLOOKUP($C10,'1_RFQ_DadosVendas'!$B:$Q,15,FALSE)/$R10,"")</f>
        <v>666.66666666666663</v>
      </c>
      <c r="AQ10">
        <f>IFERROR(VLOOKUP($C10,'1_RFQ_DadosVendas'!$B:$Q,16,FALSE)/$R10,"")</f>
        <v>666.66666666666663</v>
      </c>
    </row>
    <row r="11" spans="1:43" x14ac:dyDescent="0.25">
      <c r="A11" s="2">
        <f>VLOOKUP(C11,'1_RFQ_DadosVendas'!B:R,17,FALSE)</f>
        <v>0</v>
      </c>
      <c r="C11" s="132" t="s">
        <v>1045</v>
      </c>
      <c r="D11" s="2" t="s">
        <v>36</v>
      </c>
      <c r="E11" s="2">
        <v>13</v>
      </c>
      <c r="F11" s="2" t="s">
        <v>37</v>
      </c>
      <c r="G11" s="2">
        <v>1</v>
      </c>
      <c r="H11" s="2" t="s">
        <v>38</v>
      </c>
      <c r="I11" s="2">
        <v>1</v>
      </c>
      <c r="J11" s="2" t="s">
        <v>39</v>
      </c>
      <c r="M11" s="2">
        <v>110</v>
      </c>
      <c r="N11" s="2">
        <v>1</v>
      </c>
      <c r="O11" s="2">
        <v>0</v>
      </c>
      <c r="P11" s="2" t="s">
        <v>42</v>
      </c>
      <c r="Q11" s="2" t="s">
        <v>42</v>
      </c>
      <c r="R11" s="132">
        <v>2000</v>
      </c>
      <c r="S11" s="2">
        <v>8101</v>
      </c>
      <c r="T11" s="2" t="s">
        <v>71</v>
      </c>
      <c r="U11" s="132">
        <v>8101</v>
      </c>
      <c r="V11" s="132" t="s">
        <v>52</v>
      </c>
      <c r="W11" s="2">
        <v>908101</v>
      </c>
      <c r="X11" s="2" t="s">
        <v>53</v>
      </c>
      <c r="Y11" s="2">
        <v>0</v>
      </c>
      <c r="Z11" s="2" t="s">
        <v>41</v>
      </c>
      <c r="AA11" s="2">
        <v>0.03</v>
      </c>
      <c r="AB11" s="4">
        <v>0</v>
      </c>
      <c r="AC11" s="4">
        <v>45273</v>
      </c>
      <c r="AD11" s="5">
        <v>0.43122685185185183</v>
      </c>
      <c r="AE11" s="4">
        <v>50424</v>
      </c>
      <c r="AF11" s="5">
        <v>5.1469907407407409E-2</v>
      </c>
      <c r="AG11" s="2">
        <v>0</v>
      </c>
      <c r="AH11" s="2">
        <v>0</v>
      </c>
      <c r="AI11" s="2">
        <v>0</v>
      </c>
      <c r="AJ11" s="2">
        <v>1</v>
      </c>
      <c r="AK11" s="2" t="s">
        <v>41</v>
      </c>
      <c r="AM11">
        <f>IFERROR(VLOOKUP(C11,'1_RFQ_DadosVendas'!B:Q,12,FALSE)/$R11,"")</f>
        <v>100</v>
      </c>
      <c r="AN11">
        <f>IFERROR(VLOOKUP($C11,'1_RFQ_DadosVendas'!$B:$Q,13,FALSE)/$R11,"")</f>
        <v>100</v>
      </c>
      <c r="AO11">
        <f>IFERROR(VLOOKUP($C11,'1_RFQ_DadosVendas'!$B:$Q,14,FALSE)/$R11,"")</f>
        <v>100</v>
      </c>
      <c r="AP11">
        <f>IFERROR(VLOOKUP($C11,'1_RFQ_DadosVendas'!$B:$Q,15,FALSE)/$R11,"")</f>
        <v>100</v>
      </c>
      <c r="AQ11">
        <f>IFERROR(VLOOKUP($C11,'1_RFQ_DadosVendas'!$B:$Q,16,FALSE)/$R11,"")</f>
        <v>100</v>
      </c>
    </row>
    <row r="12" spans="1:43" x14ac:dyDescent="0.25">
      <c r="A12" s="2">
        <f>VLOOKUP(C12,'1_RFQ_DadosVendas'!B:R,17,FALSE)</f>
        <v>0</v>
      </c>
      <c r="C12" s="132" t="s">
        <v>1045</v>
      </c>
      <c r="D12" s="2" t="s">
        <v>36</v>
      </c>
      <c r="E12" s="2">
        <v>13</v>
      </c>
      <c r="F12" s="2" t="s">
        <v>37</v>
      </c>
      <c r="G12" s="2">
        <v>1</v>
      </c>
      <c r="H12" s="2" t="s">
        <v>38</v>
      </c>
      <c r="I12" s="2">
        <v>1</v>
      </c>
      <c r="J12" s="2" t="s">
        <v>39</v>
      </c>
      <c r="M12" s="2">
        <v>120</v>
      </c>
      <c r="N12" s="2">
        <v>1</v>
      </c>
      <c r="O12" s="2">
        <v>0</v>
      </c>
      <c r="P12" s="2" t="s">
        <v>41</v>
      </c>
      <c r="Q12" s="2" t="s">
        <v>41</v>
      </c>
      <c r="R12" s="132">
        <v>2000</v>
      </c>
      <c r="S12" s="2">
        <v>8412</v>
      </c>
      <c r="T12" s="2" t="s">
        <v>72</v>
      </c>
      <c r="U12" s="132">
        <v>8401</v>
      </c>
      <c r="V12" s="132" t="s">
        <v>62</v>
      </c>
      <c r="W12" s="2">
        <v>908301</v>
      </c>
      <c r="X12" s="2" t="s">
        <v>63</v>
      </c>
      <c r="Y12" s="2">
        <v>0</v>
      </c>
      <c r="Z12" s="2" t="s">
        <v>41</v>
      </c>
      <c r="AA12" s="2">
        <v>0.03</v>
      </c>
      <c r="AB12" s="4">
        <v>0</v>
      </c>
      <c r="AC12" s="4">
        <v>45273</v>
      </c>
      <c r="AD12" s="5">
        <v>0.43151620370370369</v>
      </c>
      <c r="AE12" s="4">
        <v>50424</v>
      </c>
      <c r="AF12" s="5">
        <v>5.1469907407407409E-2</v>
      </c>
      <c r="AG12" s="2">
        <v>0</v>
      </c>
      <c r="AH12" s="2">
        <v>0</v>
      </c>
      <c r="AI12" s="2">
        <v>1</v>
      </c>
      <c r="AJ12" s="2">
        <v>1</v>
      </c>
      <c r="AK12" s="2" t="s">
        <v>41</v>
      </c>
      <c r="AM12">
        <f>IFERROR(VLOOKUP(C12,'1_RFQ_DadosVendas'!B:Q,12,FALSE)/$R12,"")</f>
        <v>100</v>
      </c>
      <c r="AN12">
        <f>IFERROR(VLOOKUP($C12,'1_RFQ_DadosVendas'!$B:$Q,13,FALSE)/$R12,"")</f>
        <v>100</v>
      </c>
      <c r="AO12">
        <f>IFERROR(VLOOKUP($C12,'1_RFQ_DadosVendas'!$B:$Q,14,FALSE)/$R12,"")</f>
        <v>100</v>
      </c>
      <c r="AP12">
        <f>IFERROR(VLOOKUP($C12,'1_RFQ_DadosVendas'!$B:$Q,15,FALSE)/$R12,"")</f>
        <v>100</v>
      </c>
      <c r="AQ12">
        <f>IFERROR(VLOOKUP($C12,'1_RFQ_DadosVendas'!$B:$Q,16,FALSE)/$R12,"")</f>
        <v>100</v>
      </c>
    </row>
    <row r="13" spans="1:43" x14ac:dyDescent="0.25">
      <c r="A13" s="2">
        <f>VLOOKUP(C13,'1_RFQ_DadosVendas'!B:R,17,FALSE)</f>
        <v>0</v>
      </c>
      <c r="C13" s="132" t="s">
        <v>1045</v>
      </c>
      <c r="D13" s="2" t="s">
        <v>36</v>
      </c>
      <c r="E13" s="2">
        <v>13</v>
      </c>
      <c r="F13" s="2" t="s">
        <v>37</v>
      </c>
      <c r="G13" s="2">
        <v>1</v>
      </c>
      <c r="H13" s="2" t="s">
        <v>38</v>
      </c>
      <c r="I13" s="2">
        <v>1</v>
      </c>
      <c r="J13" s="2" t="s">
        <v>39</v>
      </c>
      <c r="L13" s="2" t="s">
        <v>73</v>
      </c>
      <c r="M13" s="2">
        <v>130</v>
      </c>
      <c r="N13" s="2">
        <v>1</v>
      </c>
      <c r="O13" s="2">
        <v>0</v>
      </c>
      <c r="P13" s="2" t="s">
        <v>41</v>
      </c>
      <c r="Q13" s="2" t="s">
        <v>42</v>
      </c>
      <c r="R13" s="132" t="s">
        <v>54</v>
      </c>
      <c r="S13" s="2">
        <v>8414</v>
      </c>
      <c r="T13" s="2" t="s">
        <v>74</v>
      </c>
      <c r="U13" s="132">
        <v>8414</v>
      </c>
      <c r="V13" s="132" t="s">
        <v>75</v>
      </c>
      <c r="W13" s="2">
        <v>908414</v>
      </c>
      <c r="X13" s="2" t="s">
        <v>76</v>
      </c>
      <c r="Y13" s="2">
        <v>0</v>
      </c>
      <c r="Z13" s="2" t="s">
        <v>41</v>
      </c>
      <c r="AA13" s="2">
        <v>0</v>
      </c>
      <c r="AB13" s="4">
        <v>0</v>
      </c>
      <c r="AC13" s="4">
        <v>45273</v>
      </c>
      <c r="AD13" s="5">
        <v>0.43192129629629628</v>
      </c>
      <c r="AE13" s="4">
        <v>50424</v>
      </c>
      <c r="AF13" s="5">
        <v>5.1469907407407409E-2</v>
      </c>
      <c r="AG13" s="2">
        <v>0</v>
      </c>
      <c r="AH13" s="2">
        <v>0</v>
      </c>
      <c r="AI13" s="2">
        <v>1</v>
      </c>
      <c r="AJ13" s="2">
        <v>1</v>
      </c>
      <c r="AK13" s="2" t="s">
        <v>42</v>
      </c>
      <c r="AM13" t="str">
        <f>IFERROR(VLOOKUP(C13,'1_RFQ_DadosVendas'!B:Q,12,FALSE)/$R13,"")</f>
        <v/>
      </c>
      <c r="AN13" t="str">
        <f>IFERROR(VLOOKUP($C13,'1_RFQ_DadosVendas'!$B:$Q,13,FALSE)/$R13,"")</f>
        <v/>
      </c>
      <c r="AO13" t="str">
        <f>IFERROR(VLOOKUP($C13,'1_RFQ_DadosVendas'!$B:$Q,14,FALSE)/$R13,"")</f>
        <v/>
      </c>
      <c r="AP13" t="str">
        <f>IFERROR(VLOOKUP($C13,'1_RFQ_DadosVendas'!$B:$Q,15,FALSE)/$R13,"")</f>
        <v/>
      </c>
      <c r="AQ13" t="str">
        <f>IFERROR(VLOOKUP($C13,'1_RFQ_DadosVendas'!$B:$Q,16,FALSE)/$R13,"")</f>
        <v/>
      </c>
    </row>
    <row r="14" spans="1:43" x14ac:dyDescent="0.25">
      <c r="A14" s="2">
        <f>VLOOKUP(C14,'1_RFQ_DadosVendas'!B:R,17,FALSE)</f>
        <v>0</v>
      </c>
      <c r="C14" s="132" t="s">
        <v>1046</v>
      </c>
      <c r="D14" s="2" t="s">
        <v>93</v>
      </c>
      <c r="E14" s="2">
        <v>2</v>
      </c>
      <c r="F14" s="2" t="s">
        <v>37</v>
      </c>
      <c r="G14" s="2">
        <v>1</v>
      </c>
      <c r="H14" s="2" t="s">
        <v>77</v>
      </c>
      <c r="I14" s="2">
        <v>1000</v>
      </c>
      <c r="J14" s="2" t="s">
        <v>39</v>
      </c>
      <c r="K14" s="2" t="s">
        <v>40</v>
      </c>
      <c r="M14" s="2">
        <v>5</v>
      </c>
      <c r="N14" s="2">
        <v>1</v>
      </c>
      <c r="O14" s="2">
        <v>0</v>
      </c>
      <c r="P14" s="2" t="s">
        <v>41</v>
      </c>
      <c r="Q14" s="2" t="s">
        <v>42</v>
      </c>
      <c r="R14" s="132" t="s">
        <v>54</v>
      </c>
      <c r="S14" s="2">
        <v>1601</v>
      </c>
      <c r="T14" s="2" t="s">
        <v>85</v>
      </c>
      <c r="U14" s="132">
        <v>8013</v>
      </c>
      <c r="V14" s="132" t="s">
        <v>86</v>
      </c>
      <c r="W14" s="2">
        <v>801301</v>
      </c>
      <c r="X14" s="2" t="s">
        <v>87</v>
      </c>
      <c r="Y14" s="2">
        <v>120</v>
      </c>
      <c r="Z14" s="2" t="s">
        <v>41</v>
      </c>
      <c r="AA14" s="2">
        <v>0</v>
      </c>
      <c r="AB14" s="4">
        <v>0</v>
      </c>
      <c r="AC14" s="4">
        <v>45216</v>
      </c>
      <c r="AD14" s="5">
        <v>0.46988425925925925</v>
      </c>
      <c r="AE14" s="4">
        <v>50424</v>
      </c>
      <c r="AF14" s="5">
        <v>5.1469907407407409E-2</v>
      </c>
      <c r="AG14" s="2">
        <v>0</v>
      </c>
      <c r="AH14" s="2">
        <v>1</v>
      </c>
      <c r="AI14" s="2">
        <v>1</v>
      </c>
      <c r="AJ14" s="2">
        <v>1</v>
      </c>
      <c r="AK14" s="2" t="s">
        <v>42</v>
      </c>
      <c r="AM14" t="str">
        <f>IFERROR(VLOOKUP(C14,'1_RFQ_DadosVendas'!B:Q,12,FALSE)/$R14,"")</f>
        <v/>
      </c>
      <c r="AN14" t="str">
        <f>IFERROR(VLOOKUP($C14,'1_RFQ_DadosVendas'!$B:$Q,13,FALSE)/$R14,"")</f>
        <v/>
      </c>
      <c r="AO14" t="str">
        <f>IFERROR(VLOOKUP($C14,'1_RFQ_DadosVendas'!$B:$Q,14,FALSE)/$R14,"")</f>
        <v/>
      </c>
      <c r="AP14" t="str">
        <f>IFERROR(VLOOKUP($C14,'1_RFQ_DadosVendas'!$B:$Q,15,FALSE)/$R14,"")</f>
        <v/>
      </c>
      <c r="AQ14" t="str">
        <f>IFERROR(VLOOKUP($C14,'1_RFQ_DadosVendas'!$B:$Q,16,FALSE)/$R14,"")</f>
        <v/>
      </c>
    </row>
    <row r="15" spans="1:43" x14ac:dyDescent="0.25">
      <c r="A15" s="2">
        <f>VLOOKUP(C15,'1_RFQ_DadosVendas'!B:R,17,FALSE)</f>
        <v>0</v>
      </c>
      <c r="C15" s="132" t="s">
        <v>1046</v>
      </c>
      <c r="D15" s="2" t="s">
        <v>93</v>
      </c>
      <c r="E15" s="2">
        <v>2</v>
      </c>
      <c r="F15" s="2" t="s">
        <v>37</v>
      </c>
      <c r="G15" s="2">
        <v>1</v>
      </c>
      <c r="H15" s="2" t="s">
        <v>77</v>
      </c>
      <c r="I15" s="2">
        <v>1000</v>
      </c>
      <c r="J15" s="2" t="s">
        <v>39</v>
      </c>
      <c r="M15" s="2">
        <v>10</v>
      </c>
      <c r="N15" s="2">
        <v>1</v>
      </c>
      <c r="O15" s="2">
        <v>0</v>
      </c>
      <c r="P15" s="2" t="s">
        <v>42</v>
      </c>
      <c r="Q15" s="2" t="s">
        <v>42</v>
      </c>
      <c r="R15" s="132">
        <v>120</v>
      </c>
      <c r="S15" s="2">
        <v>2101</v>
      </c>
      <c r="T15" s="2" t="s">
        <v>78</v>
      </c>
      <c r="U15" s="132">
        <v>2180</v>
      </c>
      <c r="V15" s="132" t="s">
        <v>90</v>
      </c>
      <c r="W15" s="2">
        <v>1993</v>
      </c>
      <c r="X15" s="2" t="s">
        <v>92</v>
      </c>
      <c r="Y15" s="2">
        <v>330</v>
      </c>
      <c r="Z15" s="2" t="s">
        <v>41</v>
      </c>
      <c r="AA15" s="2">
        <v>500</v>
      </c>
      <c r="AB15" s="4">
        <v>0</v>
      </c>
      <c r="AC15" s="4">
        <v>43605</v>
      </c>
      <c r="AD15" s="5">
        <v>0.42607638888888888</v>
      </c>
      <c r="AE15" s="4">
        <v>50424</v>
      </c>
      <c r="AF15" s="5">
        <v>5.1469907407407409E-2</v>
      </c>
      <c r="AG15" s="2">
        <v>0</v>
      </c>
      <c r="AH15" s="2">
        <v>1</v>
      </c>
      <c r="AI15" s="2">
        <v>1</v>
      </c>
      <c r="AJ15" s="2">
        <v>1</v>
      </c>
      <c r="AK15" s="2" t="s">
        <v>41</v>
      </c>
      <c r="AM15">
        <f>IFERROR(VLOOKUP(C15,'1_RFQ_DadosVendas'!B:Q,12,FALSE)/$R15,"")</f>
        <v>0</v>
      </c>
      <c r="AN15">
        <f>IFERROR(VLOOKUP($C15,'1_RFQ_DadosVendas'!$B:$Q,13,FALSE)/$R15,"")</f>
        <v>0</v>
      </c>
      <c r="AO15">
        <f>IFERROR(VLOOKUP($C15,'1_RFQ_DadosVendas'!$B:$Q,14,FALSE)/$R15,"")</f>
        <v>1250</v>
      </c>
      <c r="AP15">
        <f>IFERROR(VLOOKUP($C15,'1_RFQ_DadosVendas'!$B:$Q,15,FALSE)/$R15,"")</f>
        <v>1250</v>
      </c>
      <c r="AQ15">
        <f>IFERROR(VLOOKUP($C15,'1_RFQ_DadosVendas'!$B:$Q,16,FALSE)/$R15,"")</f>
        <v>1250</v>
      </c>
    </row>
    <row r="16" spans="1:43" x14ac:dyDescent="0.25">
      <c r="A16" s="2">
        <f>VLOOKUP(C16,'1_RFQ_DadosVendas'!B:R,17,FALSE)</f>
        <v>0</v>
      </c>
      <c r="C16" s="132" t="s">
        <v>1046</v>
      </c>
      <c r="D16" s="2" t="s">
        <v>93</v>
      </c>
      <c r="E16" s="2">
        <v>2</v>
      </c>
      <c r="F16" s="2" t="s">
        <v>37</v>
      </c>
      <c r="G16" s="2">
        <v>1</v>
      </c>
      <c r="H16" s="2" t="s">
        <v>77</v>
      </c>
      <c r="I16" s="2">
        <v>1000</v>
      </c>
      <c r="J16" s="2" t="s">
        <v>39</v>
      </c>
      <c r="M16" s="2">
        <v>20</v>
      </c>
      <c r="N16" s="2">
        <v>2</v>
      </c>
      <c r="O16" s="2">
        <v>0</v>
      </c>
      <c r="P16" s="2" t="s">
        <v>41</v>
      </c>
      <c r="Q16" s="2" t="s">
        <v>42</v>
      </c>
      <c r="R16" s="132">
        <v>168</v>
      </c>
      <c r="S16" s="2">
        <v>3101</v>
      </c>
      <c r="T16" s="2" t="s">
        <v>45</v>
      </c>
      <c r="U16" s="132">
        <v>3102</v>
      </c>
      <c r="V16" s="132" t="s">
        <v>79</v>
      </c>
      <c r="W16" s="2">
        <v>2264</v>
      </c>
      <c r="X16" s="2" t="s">
        <v>80</v>
      </c>
      <c r="Y16" s="2">
        <v>90</v>
      </c>
      <c r="Z16" s="2" t="s">
        <v>42</v>
      </c>
      <c r="AA16" s="2">
        <v>357.14299999999997</v>
      </c>
      <c r="AB16" s="4">
        <v>33</v>
      </c>
      <c r="AC16" s="4">
        <v>40792</v>
      </c>
      <c r="AD16" s="5">
        <v>0.29166666666666669</v>
      </c>
      <c r="AE16" s="4">
        <v>50423</v>
      </c>
      <c r="AF16" s="5">
        <v>0.875</v>
      </c>
      <c r="AG16" s="2">
        <v>0</v>
      </c>
      <c r="AH16" s="2">
        <v>0</v>
      </c>
      <c r="AI16" s="2">
        <v>0.7</v>
      </c>
      <c r="AJ16" s="2">
        <v>1</v>
      </c>
      <c r="AK16" s="2" t="s">
        <v>41</v>
      </c>
      <c r="AM16">
        <f>IFERROR(VLOOKUP(C16,'1_RFQ_DadosVendas'!B:Q,12,FALSE)/$R16,"")</f>
        <v>0</v>
      </c>
      <c r="AN16">
        <f>IFERROR(VLOOKUP($C16,'1_RFQ_DadosVendas'!$B:$Q,13,FALSE)/$R16,"")</f>
        <v>0</v>
      </c>
      <c r="AO16">
        <f>IFERROR(VLOOKUP($C16,'1_RFQ_DadosVendas'!$B:$Q,14,FALSE)/$R16,"")</f>
        <v>892.85714285714289</v>
      </c>
      <c r="AP16">
        <f>IFERROR(VLOOKUP($C16,'1_RFQ_DadosVendas'!$B:$Q,15,FALSE)/$R16,"")</f>
        <v>892.85714285714289</v>
      </c>
      <c r="AQ16">
        <f>IFERROR(VLOOKUP($C16,'1_RFQ_DadosVendas'!$B:$Q,16,FALSE)/$R16,"")</f>
        <v>892.85714285714289</v>
      </c>
    </row>
    <row r="17" spans="1:43" x14ac:dyDescent="0.25">
      <c r="A17" s="2">
        <f>VLOOKUP(C17,'1_RFQ_DadosVendas'!B:R,17,FALSE)</f>
        <v>0</v>
      </c>
      <c r="C17" s="132" t="s">
        <v>1046</v>
      </c>
      <c r="D17" s="2" t="s">
        <v>93</v>
      </c>
      <c r="E17" s="2">
        <v>2</v>
      </c>
      <c r="F17" s="2" t="s">
        <v>37</v>
      </c>
      <c r="G17" s="2">
        <v>1</v>
      </c>
      <c r="H17" s="2" t="s">
        <v>77</v>
      </c>
      <c r="I17" s="2">
        <v>1000</v>
      </c>
      <c r="J17" s="2" t="s">
        <v>39</v>
      </c>
      <c r="M17" s="2">
        <v>30</v>
      </c>
      <c r="N17" s="2">
        <v>1</v>
      </c>
      <c r="O17" s="2">
        <v>0</v>
      </c>
      <c r="P17" s="2" t="s">
        <v>41</v>
      </c>
      <c r="Q17" s="2" t="s">
        <v>42</v>
      </c>
      <c r="R17" s="132">
        <v>120</v>
      </c>
      <c r="S17" s="2">
        <v>7501</v>
      </c>
      <c r="T17" s="2" t="s">
        <v>83</v>
      </c>
      <c r="U17" s="132">
        <v>7501</v>
      </c>
      <c r="V17" s="132" t="s">
        <v>84</v>
      </c>
      <c r="W17" s="2">
        <v>11</v>
      </c>
      <c r="X17" s="2" t="s">
        <v>94</v>
      </c>
      <c r="Y17" s="2">
        <v>60</v>
      </c>
      <c r="Z17" s="2" t="s">
        <v>41</v>
      </c>
      <c r="AA17" s="2">
        <v>500</v>
      </c>
      <c r="AB17" s="4">
        <v>0</v>
      </c>
      <c r="AC17" s="4">
        <v>40781</v>
      </c>
      <c r="AD17" s="5">
        <v>0.29166666666666669</v>
      </c>
      <c r="AE17" s="4">
        <v>50423</v>
      </c>
      <c r="AF17" s="5">
        <v>0.875</v>
      </c>
      <c r="AG17" s="2">
        <v>0</v>
      </c>
      <c r="AH17" s="2">
        <v>1</v>
      </c>
      <c r="AI17" s="2">
        <v>0.12</v>
      </c>
      <c r="AJ17" s="2">
        <v>1</v>
      </c>
      <c r="AK17" s="2" t="s">
        <v>41</v>
      </c>
      <c r="AM17">
        <f>IFERROR(VLOOKUP(C17,'1_RFQ_DadosVendas'!B:Q,12,FALSE)/$R17,"")</f>
        <v>0</v>
      </c>
      <c r="AN17">
        <f>IFERROR(VLOOKUP($C17,'1_RFQ_DadosVendas'!$B:$Q,13,FALSE)/$R17,"")</f>
        <v>0</v>
      </c>
      <c r="AO17">
        <f>IFERROR(VLOOKUP($C17,'1_RFQ_DadosVendas'!$B:$Q,14,FALSE)/$R17,"")</f>
        <v>1250</v>
      </c>
      <c r="AP17">
        <f>IFERROR(VLOOKUP($C17,'1_RFQ_DadosVendas'!$B:$Q,15,FALSE)/$R17,"")</f>
        <v>1250</v>
      </c>
      <c r="AQ17">
        <f>IFERROR(VLOOKUP($C17,'1_RFQ_DadosVendas'!$B:$Q,16,FALSE)/$R17,"")</f>
        <v>1250</v>
      </c>
    </row>
    <row r="18" spans="1:43" x14ac:dyDescent="0.25">
      <c r="A18" s="2">
        <f>VLOOKUP(C18,'1_RFQ_DadosVendas'!B:R,17,FALSE)</f>
        <v>0</v>
      </c>
      <c r="C18" s="132" t="s">
        <v>1046</v>
      </c>
      <c r="D18" s="2" t="s">
        <v>93</v>
      </c>
      <c r="E18" s="2">
        <v>2</v>
      </c>
      <c r="F18" s="2" t="s">
        <v>37</v>
      </c>
      <c r="G18" s="2">
        <v>1</v>
      </c>
      <c r="H18" s="2" t="s">
        <v>77</v>
      </c>
      <c r="I18" s="2">
        <v>1000</v>
      </c>
      <c r="J18" s="2" t="s">
        <v>39</v>
      </c>
      <c r="M18" s="2">
        <v>35</v>
      </c>
      <c r="N18" s="2">
        <v>1</v>
      </c>
      <c r="O18" s="2">
        <v>0</v>
      </c>
      <c r="P18" s="2" t="s">
        <v>41</v>
      </c>
      <c r="Q18" s="2" t="s">
        <v>42</v>
      </c>
      <c r="R18" s="132">
        <v>120</v>
      </c>
      <c r="S18" s="2">
        <v>7302</v>
      </c>
      <c r="T18" s="2" t="s">
        <v>48</v>
      </c>
      <c r="U18" s="132">
        <v>7300</v>
      </c>
      <c r="V18" s="132" t="s">
        <v>49</v>
      </c>
      <c r="W18" s="2">
        <v>2029</v>
      </c>
      <c r="X18" s="2" t="s">
        <v>95</v>
      </c>
      <c r="Y18" s="2">
        <v>0</v>
      </c>
      <c r="Z18" s="2" t="s">
        <v>42</v>
      </c>
      <c r="AA18" s="2">
        <v>500</v>
      </c>
      <c r="AB18" s="4">
        <v>33</v>
      </c>
      <c r="AC18" s="4">
        <v>43381</v>
      </c>
      <c r="AD18" s="5">
        <v>0.71052083333333338</v>
      </c>
      <c r="AE18" s="4">
        <v>50424</v>
      </c>
      <c r="AF18" s="5">
        <v>5.1469907407407409E-2</v>
      </c>
      <c r="AG18" s="2">
        <v>0</v>
      </c>
      <c r="AH18" s="2">
        <v>0</v>
      </c>
      <c r="AI18" s="2">
        <v>0.12</v>
      </c>
      <c r="AJ18" s="2">
        <v>1</v>
      </c>
      <c r="AK18" s="2" t="s">
        <v>41</v>
      </c>
      <c r="AM18">
        <f>IFERROR(VLOOKUP(C18,'1_RFQ_DadosVendas'!B:Q,12,FALSE)/$R18,"")</f>
        <v>0</v>
      </c>
      <c r="AN18">
        <f>IFERROR(VLOOKUP($C18,'1_RFQ_DadosVendas'!$B:$Q,13,FALSE)/$R18,"")</f>
        <v>0</v>
      </c>
      <c r="AO18">
        <f>IFERROR(VLOOKUP($C18,'1_RFQ_DadosVendas'!$B:$Q,14,FALSE)/$R18,"")</f>
        <v>1250</v>
      </c>
      <c r="AP18">
        <f>IFERROR(VLOOKUP($C18,'1_RFQ_DadosVendas'!$B:$Q,15,FALSE)/$R18,"")</f>
        <v>1250</v>
      </c>
      <c r="AQ18">
        <f>IFERROR(VLOOKUP($C18,'1_RFQ_DadosVendas'!$B:$Q,16,FALSE)/$R18,"")</f>
        <v>1250</v>
      </c>
    </row>
    <row r="19" spans="1:43" x14ac:dyDescent="0.25">
      <c r="A19" s="2">
        <f>VLOOKUP(C19,'1_RFQ_DadosVendas'!B:R,17,FALSE)</f>
        <v>0</v>
      </c>
      <c r="C19" s="132" t="s">
        <v>1046</v>
      </c>
      <c r="D19" s="2" t="s">
        <v>93</v>
      </c>
      <c r="E19" s="2">
        <v>2</v>
      </c>
      <c r="F19" s="2" t="s">
        <v>37</v>
      </c>
      <c r="G19" s="2">
        <v>1</v>
      </c>
      <c r="H19" s="2" t="s">
        <v>77</v>
      </c>
      <c r="I19" s="2">
        <v>1000</v>
      </c>
      <c r="J19" s="2" t="s">
        <v>39</v>
      </c>
      <c r="M19" s="2">
        <v>38</v>
      </c>
      <c r="N19" s="2">
        <v>1</v>
      </c>
      <c r="O19" s="2">
        <v>0</v>
      </c>
      <c r="P19" s="2" t="s">
        <v>41</v>
      </c>
      <c r="Q19" s="2" t="s">
        <v>42</v>
      </c>
      <c r="R19" s="132" t="s">
        <v>54</v>
      </c>
      <c r="S19" s="2">
        <v>6201</v>
      </c>
      <c r="T19" s="2" t="s">
        <v>64</v>
      </c>
      <c r="U19" s="132">
        <v>6200</v>
      </c>
      <c r="V19" s="132" t="s">
        <v>96</v>
      </c>
      <c r="W19" s="2">
        <v>33</v>
      </c>
      <c r="X19" s="2" t="s">
        <v>97</v>
      </c>
      <c r="Y19" s="2">
        <v>60</v>
      </c>
      <c r="Z19" s="2" t="s">
        <v>41</v>
      </c>
      <c r="AA19" s="2">
        <v>0</v>
      </c>
      <c r="AB19" s="2">
        <v>0</v>
      </c>
      <c r="AC19" s="4">
        <v>45834</v>
      </c>
      <c r="AD19" s="5">
        <v>0.64166666666666672</v>
      </c>
      <c r="AE19" s="4">
        <v>50424</v>
      </c>
      <c r="AF19" s="5">
        <v>5.1469907407407409E-2</v>
      </c>
      <c r="AG19" s="2">
        <v>0</v>
      </c>
      <c r="AH19" s="2">
        <v>1</v>
      </c>
      <c r="AI19" s="2">
        <v>1</v>
      </c>
      <c r="AJ19" s="2">
        <v>1</v>
      </c>
      <c r="AK19" s="2" t="s">
        <v>41</v>
      </c>
      <c r="AM19" t="str">
        <f>IFERROR(VLOOKUP(C19,'1_RFQ_DadosVendas'!B:Q,12,FALSE)/$R19,"")</f>
        <v/>
      </c>
      <c r="AN19" t="str">
        <f>IFERROR(VLOOKUP($C19,'1_RFQ_DadosVendas'!$B:$Q,13,FALSE)/$R19,"")</f>
        <v/>
      </c>
      <c r="AO19" t="str">
        <f>IFERROR(VLOOKUP($C19,'1_RFQ_DadosVendas'!$B:$Q,14,FALSE)/$R19,"")</f>
        <v/>
      </c>
      <c r="AP19" t="str">
        <f>IFERROR(VLOOKUP($C19,'1_RFQ_DadosVendas'!$B:$Q,15,FALSE)/$R19,"")</f>
        <v/>
      </c>
      <c r="AQ19" t="str">
        <f>IFERROR(VLOOKUP($C19,'1_RFQ_DadosVendas'!$B:$Q,16,FALSE)/$R19,"")</f>
        <v/>
      </c>
    </row>
    <row r="20" spans="1:43" x14ac:dyDescent="0.25">
      <c r="A20" s="2">
        <f>VLOOKUP(C20,'1_RFQ_DadosVendas'!B:R,17,FALSE)</f>
        <v>0</v>
      </c>
      <c r="C20" s="132" t="s">
        <v>1046</v>
      </c>
      <c r="D20" s="2" t="s">
        <v>93</v>
      </c>
      <c r="E20" s="2">
        <v>2</v>
      </c>
      <c r="F20" s="2" t="s">
        <v>37</v>
      </c>
      <c r="G20" s="2">
        <v>1</v>
      </c>
      <c r="H20" s="2" t="s">
        <v>77</v>
      </c>
      <c r="I20" s="2">
        <v>1000</v>
      </c>
      <c r="J20" s="2" t="s">
        <v>39</v>
      </c>
      <c r="M20" s="2">
        <v>40</v>
      </c>
      <c r="N20" s="2">
        <v>2</v>
      </c>
      <c r="O20" s="2">
        <v>0</v>
      </c>
      <c r="P20" s="2" t="s">
        <v>42</v>
      </c>
      <c r="Q20" s="2" t="s">
        <v>42</v>
      </c>
      <c r="R20" s="132">
        <v>30000</v>
      </c>
      <c r="S20" s="2">
        <v>8101</v>
      </c>
      <c r="T20" s="2" t="s">
        <v>71</v>
      </c>
      <c r="U20" s="132">
        <v>8101</v>
      </c>
      <c r="V20" s="132" t="s">
        <v>52</v>
      </c>
      <c r="W20" s="2">
        <v>908101</v>
      </c>
      <c r="X20" s="2" t="s">
        <v>53</v>
      </c>
      <c r="Y20" s="2">
        <v>0</v>
      </c>
      <c r="Z20" s="2" t="s">
        <v>42</v>
      </c>
      <c r="AA20" s="2">
        <v>2</v>
      </c>
      <c r="AB20" s="2">
        <v>33</v>
      </c>
      <c r="AC20" s="4">
        <v>43381</v>
      </c>
      <c r="AD20" s="5">
        <v>0.71072916666666663</v>
      </c>
      <c r="AE20" s="4">
        <v>50424</v>
      </c>
      <c r="AF20" s="5">
        <v>5.1469907407407409E-2</v>
      </c>
      <c r="AG20" s="2">
        <v>0</v>
      </c>
      <c r="AH20" s="2">
        <v>0</v>
      </c>
      <c r="AI20" s="2">
        <v>1</v>
      </c>
      <c r="AJ20" s="2">
        <v>1</v>
      </c>
      <c r="AK20" s="2" t="s">
        <v>41</v>
      </c>
      <c r="AM20">
        <f>IFERROR(VLOOKUP(C20,'1_RFQ_DadosVendas'!B:Q,12,FALSE)/$R20,"")</f>
        <v>0</v>
      </c>
      <c r="AN20">
        <f>IFERROR(VLOOKUP($C20,'1_RFQ_DadosVendas'!$B:$Q,13,FALSE)/$R20,"")</f>
        <v>0</v>
      </c>
      <c r="AO20">
        <f>IFERROR(VLOOKUP($C20,'1_RFQ_DadosVendas'!$B:$Q,14,FALSE)/$R20,"")</f>
        <v>5</v>
      </c>
      <c r="AP20">
        <f>IFERROR(VLOOKUP($C20,'1_RFQ_DadosVendas'!$B:$Q,15,FALSE)/$R20,"")</f>
        <v>5</v>
      </c>
      <c r="AQ20">
        <f>IFERROR(VLOOKUP($C20,'1_RFQ_DadosVendas'!$B:$Q,16,FALSE)/$R20,"")</f>
        <v>5</v>
      </c>
    </row>
    <row r="21" spans="1:43" x14ac:dyDescent="0.25">
      <c r="A21" s="2">
        <f>VLOOKUP(C21,'1_RFQ_DadosVendas'!B:R,17,FALSE)</f>
        <v>0</v>
      </c>
      <c r="C21" s="132" t="s">
        <v>1046</v>
      </c>
      <c r="D21" s="2" t="s">
        <v>93</v>
      </c>
      <c r="E21" s="2">
        <v>2</v>
      </c>
      <c r="F21" s="2" t="s">
        <v>37</v>
      </c>
      <c r="G21" s="2">
        <v>1</v>
      </c>
      <c r="H21" s="2" t="s">
        <v>77</v>
      </c>
      <c r="I21" s="2">
        <v>1000</v>
      </c>
      <c r="J21" s="2" t="s">
        <v>39</v>
      </c>
      <c r="L21" s="2" t="s">
        <v>73</v>
      </c>
      <c r="M21" s="2">
        <v>50</v>
      </c>
      <c r="N21" s="2">
        <v>1</v>
      </c>
      <c r="O21" s="2">
        <v>0</v>
      </c>
      <c r="P21" s="2" t="s">
        <v>41</v>
      </c>
      <c r="Q21" s="2" t="s">
        <v>42</v>
      </c>
      <c r="R21" s="132" t="s">
        <v>54</v>
      </c>
      <c r="S21" s="2">
        <v>8414</v>
      </c>
      <c r="T21" s="2" t="s">
        <v>74</v>
      </c>
      <c r="U21" s="132">
        <v>8414</v>
      </c>
      <c r="V21" s="132" t="s">
        <v>75</v>
      </c>
      <c r="W21" s="2">
        <v>908414</v>
      </c>
      <c r="X21" s="2" t="s">
        <v>76</v>
      </c>
      <c r="Y21" s="2">
        <v>0</v>
      </c>
      <c r="Z21" s="2" t="s">
        <v>41</v>
      </c>
      <c r="AA21" s="2">
        <v>0</v>
      </c>
      <c r="AB21" s="2">
        <v>0</v>
      </c>
      <c r="AC21" s="4">
        <v>43381</v>
      </c>
      <c r="AD21" s="5">
        <v>0.71099537037037042</v>
      </c>
      <c r="AE21" s="4">
        <v>50424</v>
      </c>
      <c r="AF21" s="5">
        <v>5.1469907407407409E-2</v>
      </c>
      <c r="AG21" s="2">
        <v>0</v>
      </c>
      <c r="AH21" s="2">
        <v>0</v>
      </c>
      <c r="AI21" s="2">
        <v>1</v>
      </c>
      <c r="AJ21" s="2">
        <v>1</v>
      </c>
      <c r="AK21" s="2" t="s">
        <v>42</v>
      </c>
      <c r="AM21" t="str">
        <f>IFERROR(VLOOKUP(C21,'1_RFQ_DadosVendas'!B:Q,12,FALSE)/$R21,"")</f>
        <v/>
      </c>
      <c r="AN21" t="str">
        <f>IFERROR(VLOOKUP($C21,'1_RFQ_DadosVendas'!$B:$Q,13,FALSE)/$R21,"")</f>
        <v/>
      </c>
      <c r="AO21" t="str">
        <f>IFERROR(VLOOKUP($C21,'1_RFQ_DadosVendas'!$B:$Q,14,FALSE)/$R21,"")</f>
        <v/>
      </c>
      <c r="AP21" t="str">
        <f>IFERROR(VLOOKUP($C21,'1_RFQ_DadosVendas'!$B:$Q,15,FALSE)/$R21,"")</f>
        <v/>
      </c>
      <c r="AQ21" t="str">
        <f>IFERROR(VLOOKUP($C21,'1_RFQ_DadosVendas'!$B:$Q,16,FALSE)/$R21,"")</f>
        <v/>
      </c>
    </row>
  </sheetData>
  <phoneticPr fontId="1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D043-E009-48C3-B9D2-8D2F07012DED}">
  <sheetPr filterMode="1"/>
  <dimension ref="A1:AQ77"/>
  <sheetViews>
    <sheetView tabSelected="1" zoomScale="90" zoomScaleNormal="90" workbookViewId="0">
      <selection activeCell="M91" sqref="M91"/>
    </sheetView>
  </sheetViews>
  <sheetFormatPr defaultRowHeight="15" x14ac:dyDescent="0.25"/>
  <cols>
    <col min="1" max="1" width="12" customWidth="1"/>
    <col min="2" max="2" width="11" customWidth="1"/>
    <col min="3" max="3" width="26.7109375" customWidth="1"/>
    <col min="4" max="4" width="13.140625" style="2" bestFit="1" customWidth="1"/>
    <col min="5" max="10" width="6.140625" customWidth="1"/>
    <col min="11" max="11" width="13.85546875" style="143" bestFit="1" customWidth="1"/>
    <col min="12" max="12" width="10.5703125" style="143" bestFit="1" customWidth="1"/>
    <col min="13" max="16" width="6.5703125" style="143" bestFit="1" customWidth="1"/>
    <col min="17" max="17" width="12.28515625" bestFit="1" customWidth="1"/>
    <col min="19" max="19" width="11.5703125" bestFit="1" customWidth="1"/>
    <col min="20" max="20" width="11.7109375" bestFit="1" customWidth="1"/>
    <col min="21" max="25" width="10" bestFit="1" customWidth="1"/>
    <col min="26" max="26" width="10.85546875" bestFit="1" customWidth="1"/>
    <col min="27" max="27" width="10" bestFit="1" customWidth="1"/>
    <col min="28" max="29" width="10.85546875" bestFit="1" customWidth="1"/>
    <col min="30" max="35" width="9.140625" customWidth="1"/>
    <col min="36" max="36" width="11.7109375" customWidth="1"/>
    <col min="37" max="41" width="10" customWidth="1"/>
    <col min="42" max="42" width="30" bestFit="1" customWidth="1"/>
  </cols>
  <sheetData>
    <row r="1" spans="1:43" ht="15.75" thickBot="1" x14ac:dyDescent="0.3">
      <c r="B1" s="191"/>
      <c r="C1" s="193"/>
      <c r="D1" s="159" t="s">
        <v>175</v>
      </c>
      <c r="E1" s="158"/>
      <c r="F1" s="191" t="s">
        <v>812</v>
      </c>
      <c r="G1" s="192"/>
      <c r="H1" s="192"/>
      <c r="I1" s="192"/>
      <c r="J1" s="193"/>
      <c r="K1" s="194" t="s">
        <v>176</v>
      </c>
      <c r="L1" s="195"/>
      <c r="M1" s="195"/>
      <c r="N1" s="195"/>
      <c r="O1" s="195"/>
      <c r="P1" s="196"/>
      <c r="Q1" s="159" t="s">
        <v>133</v>
      </c>
      <c r="R1" s="191" t="s">
        <v>177</v>
      </c>
      <c r="S1" s="192"/>
      <c r="T1" s="192"/>
      <c r="U1" s="192"/>
      <c r="V1" s="192"/>
      <c r="W1" s="193"/>
      <c r="X1" s="191" t="s">
        <v>138</v>
      </c>
      <c r="Y1" s="192"/>
      <c r="Z1" s="192"/>
      <c r="AA1" s="192"/>
      <c r="AB1" s="192"/>
      <c r="AC1" s="193"/>
      <c r="AD1" s="191" t="s">
        <v>139</v>
      </c>
      <c r="AE1" s="192"/>
      <c r="AF1" s="192"/>
      <c r="AG1" s="192"/>
      <c r="AH1" s="192"/>
      <c r="AI1" s="193"/>
      <c r="AJ1" s="191" t="s">
        <v>140</v>
      </c>
      <c r="AK1" s="192"/>
      <c r="AL1" s="192"/>
      <c r="AM1" s="192"/>
      <c r="AN1" s="192"/>
      <c r="AO1" s="193"/>
      <c r="AP1" s="183"/>
      <c r="AQ1" s="183"/>
    </row>
    <row r="2" spans="1:43" ht="33.75" customHeight="1" thickBot="1" x14ac:dyDescent="0.3">
      <c r="A2" s="184" t="s">
        <v>817</v>
      </c>
      <c r="B2" s="159" t="s">
        <v>141</v>
      </c>
      <c r="C2" s="159" t="s">
        <v>142</v>
      </c>
      <c r="D2" s="159" t="s">
        <v>143</v>
      </c>
      <c r="E2" s="159">
        <v>2025</v>
      </c>
      <c r="F2" s="159">
        <v>2026</v>
      </c>
      <c r="G2" s="159">
        <v>2027</v>
      </c>
      <c r="H2" s="159">
        <v>2028</v>
      </c>
      <c r="I2" s="159">
        <v>2029</v>
      </c>
      <c r="J2" s="159">
        <v>2030</v>
      </c>
      <c r="K2" s="177">
        <v>2025</v>
      </c>
      <c r="L2" s="177">
        <v>2026</v>
      </c>
      <c r="M2" s="177">
        <v>2027</v>
      </c>
      <c r="N2" s="177">
        <v>2028</v>
      </c>
      <c r="O2" s="177">
        <v>2029</v>
      </c>
      <c r="P2" s="177">
        <v>2030</v>
      </c>
      <c r="Q2" s="159" t="s">
        <v>144</v>
      </c>
      <c r="R2" s="159">
        <v>2025</v>
      </c>
      <c r="S2" s="159">
        <v>2026</v>
      </c>
      <c r="T2" s="159">
        <v>2027</v>
      </c>
      <c r="U2" s="159">
        <v>2028</v>
      </c>
      <c r="V2" s="159">
        <v>2029</v>
      </c>
      <c r="W2" s="159">
        <v>2030</v>
      </c>
      <c r="X2" s="159">
        <v>2025</v>
      </c>
      <c r="Y2" s="159">
        <v>2026</v>
      </c>
      <c r="Z2" s="159">
        <v>2027</v>
      </c>
      <c r="AA2" s="159">
        <v>2028</v>
      </c>
      <c r="AB2" s="159">
        <v>2029</v>
      </c>
      <c r="AC2" s="159">
        <v>2030</v>
      </c>
      <c r="AD2" s="159">
        <v>2025</v>
      </c>
      <c r="AE2" s="159">
        <v>2026</v>
      </c>
      <c r="AF2" s="159">
        <v>2027</v>
      </c>
      <c r="AG2" s="159">
        <v>2028</v>
      </c>
      <c r="AH2" s="159">
        <v>2029</v>
      </c>
      <c r="AI2" s="159">
        <v>2030</v>
      </c>
      <c r="AJ2" s="168">
        <v>2025</v>
      </c>
      <c r="AK2" s="168">
        <v>2026</v>
      </c>
      <c r="AL2" s="168">
        <v>2027</v>
      </c>
      <c r="AM2" s="168">
        <v>2028</v>
      </c>
      <c r="AN2" s="168">
        <v>2029</v>
      </c>
      <c r="AO2" s="168">
        <v>2030</v>
      </c>
      <c r="AP2" s="168" t="s">
        <v>816</v>
      </c>
      <c r="AQ2" s="183" t="s">
        <v>1044</v>
      </c>
    </row>
    <row r="3" spans="1:43" ht="15.75" hidden="1" thickBot="1" x14ac:dyDescent="0.3">
      <c r="A3" s="150"/>
      <c r="B3" s="159" t="s">
        <v>146</v>
      </c>
      <c r="C3" s="159"/>
      <c r="D3" s="185">
        <f t="shared" ref="D3:Q3" si="0">SUM(D4:D77)</f>
        <v>91</v>
      </c>
      <c r="E3" s="180">
        <f t="shared" ref="E3" si="1">SUM(E4:E77)</f>
        <v>40.301292788731494</v>
      </c>
      <c r="F3" s="180">
        <f t="shared" ref="F3" si="2">SUM(F4:F77)</f>
        <v>38.460879401562593</v>
      </c>
      <c r="G3" s="180">
        <f t="shared" ref="G3" si="3">SUM(G4:G77)</f>
        <v>38.662750857900313</v>
      </c>
      <c r="H3" s="180">
        <f t="shared" ref="H3" si="4">SUM(H4:H77)</f>
        <v>40.382061185176553</v>
      </c>
      <c r="I3" s="180">
        <f t="shared" ref="I3" si="5">SUM(I4:I77)</f>
        <v>42.734599230318238</v>
      </c>
      <c r="J3" s="180">
        <f t="shared" ref="J3" si="6">SUM(J4:J77)</f>
        <v>42.727974263728896</v>
      </c>
      <c r="K3" s="178">
        <f t="shared" si="0"/>
        <v>40.301292788731494</v>
      </c>
      <c r="L3" s="178">
        <f t="shared" si="0"/>
        <v>38.460879401562593</v>
      </c>
      <c r="M3" s="178">
        <f t="shared" si="0"/>
        <v>38.662750857900313</v>
      </c>
      <c r="N3" s="178">
        <f t="shared" si="0"/>
        <v>40.382061185176553</v>
      </c>
      <c r="O3" s="178">
        <f t="shared" si="0"/>
        <v>42.734599230318238</v>
      </c>
      <c r="P3" s="178">
        <f t="shared" si="0"/>
        <v>42.727974263728896</v>
      </c>
      <c r="Q3" s="176">
        <f t="shared" si="0"/>
        <v>5340</v>
      </c>
      <c r="R3" s="160">
        <f>SUM(R4:R77)</f>
        <v>146991</v>
      </c>
      <c r="S3" s="160" t="e">
        <f>SUM(S4:S77)</f>
        <v>#REF!</v>
      </c>
      <c r="T3" s="160" t="e">
        <f>SUM(T4:T77)</f>
        <v>#REF!</v>
      </c>
      <c r="U3" s="160" t="e">
        <f t="shared" ref="U3:AO3" si="7">SUM(U4:U77)</f>
        <v>#REF!</v>
      </c>
      <c r="V3" s="160" t="e">
        <f t="shared" si="7"/>
        <v>#REF!</v>
      </c>
      <c r="W3" s="160" t="e">
        <f t="shared" si="7"/>
        <v>#REF!</v>
      </c>
      <c r="X3" s="175">
        <f t="shared" si="7"/>
        <v>333948.34999999998</v>
      </c>
      <c r="Y3" s="175">
        <f t="shared" si="7"/>
        <v>323268.27000000019</v>
      </c>
      <c r="Z3" s="175">
        <f t="shared" si="7"/>
        <v>355401.8449999998</v>
      </c>
      <c r="AA3" s="175">
        <f t="shared" si="7"/>
        <v>355481.17000000022</v>
      </c>
      <c r="AB3" s="175">
        <f t="shared" si="7"/>
        <v>354788.47500000021</v>
      </c>
      <c r="AC3" s="175">
        <f t="shared" si="7"/>
        <v>357958.78499999992</v>
      </c>
      <c r="AD3" s="160">
        <f t="shared" si="7"/>
        <v>410126.29999999981</v>
      </c>
      <c r="AE3" s="160">
        <f t="shared" si="7"/>
        <v>397632.29999999987</v>
      </c>
      <c r="AF3" s="160">
        <f t="shared" si="7"/>
        <v>437598.5</v>
      </c>
      <c r="AG3" s="160">
        <f t="shared" si="7"/>
        <v>437737.29999999964</v>
      </c>
      <c r="AH3" s="160">
        <f t="shared" si="7"/>
        <v>436843.19999999972</v>
      </c>
      <c r="AI3" s="167">
        <f t="shared" si="7"/>
        <v>440747.10000000021</v>
      </c>
      <c r="AJ3" s="170">
        <f t="shared" si="7"/>
        <v>324113118.25</v>
      </c>
      <c r="AK3" s="170">
        <f t="shared" si="7"/>
        <v>250543663</v>
      </c>
      <c r="AL3" s="170">
        <f t="shared" si="7"/>
        <v>264772092</v>
      </c>
      <c r="AM3" s="170">
        <f t="shared" si="7"/>
        <v>278865835</v>
      </c>
      <c r="AN3" s="170">
        <f t="shared" si="7"/>
        <v>292945512</v>
      </c>
      <c r="AO3" s="170">
        <f t="shared" si="7"/>
        <v>308865224</v>
      </c>
      <c r="AP3" s="182" t="str">
        <f>IFERROR(VLOOKUP(D4,'2_LN_DadosExportados'!V:V,1,FALSE),"")</f>
        <v/>
      </c>
      <c r="AQ3" s="182"/>
    </row>
    <row r="4" spans="1:43" ht="15.75" hidden="1" thickBot="1" x14ac:dyDescent="0.3">
      <c r="A4" s="153" t="str">
        <f>IF(OR(E4&gt;=D4,F4&gt;=D4,G4&gt;=D4,H4&gt;=D4,I4&gt;=D4,J4&gt;=D4),"INVEST","OK")</f>
        <v>OK</v>
      </c>
      <c r="B4" s="161" t="s">
        <v>694</v>
      </c>
      <c r="C4" s="161" t="s">
        <v>695</v>
      </c>
      <c r="D4" s="186">
        <v>1</v>
      </c>
      <c r="E4" s="181">
        <f>IFERROR(((SUMIFS('2_LN_DadosExportados'!AL:AL,'2_LN_DadosExportados'!$V:$V,$C4,'2_LN_DadosExportados'!$A:$A,"X")+R4)/X4)*$D4,"")</f>
        <v>0</v>
      </c>
      <c r="F4" s="181">
        <f>IFERROR(((SUMIFS('2_LN_DadosExportados'!AM:AM,'2_LN_DadosExportados'!$V:$V,$C4,'2_LN_DadosExportados'!$A:$A,"X")+S4)/Y4)*$D4,"")</f>
        <v>0</v>
      </c>
      <c r="G4" s="181">
        <f>IFERROR(((SUMIFS('2_LN_DadosExportados'!AN:AN,'2_LN_DadosExportados'!$V:$V,$C4,'2_LN_DadosExportados'!$A:$A,"X")+T4)/Z4)*$D4,"")</f>
        <v>0</v>
      </c>
      <c r="H4" s="181">
        <f>IFERROR(((SUMIFS('2_LN_DadosExportados'!AO:AO,'2_LN_DadosExportados'!$V:$V,$C4,'2_LN_DadosExportados'!$A:$A,"X")+U4)/AA4)*$D4,"")</f>
        <v>0</v>
      </c>
      <c r="I4" s="181">
        <f>IFERROR(((SUMIFS('2_LN_DadosExportados'!AP:AP,'2_LN_DadosExportados'!$V:$V,$C4,'2_LN_DadosExportados'!$A:$A,"X")+V4)/AB4)*$D4,"")</f>
        <v>0</v>
      </c>
      <c r="J4" s="181">
        <f>IFERROR(((SUMIFS('2_LN_DadosExportados'!AQ:AQ,'2_LN_DadosExportados'!$V:$V,$C4,'2_LN_DadosExportados'!$A:$A,"X")+W4)/AC4)*$D4,"")</f>
        <v>0</v>
      </c>
      <c r="K4" s="179">
        <f>IFERROR(R4/X4*$D4,"")</f>
        <v>0</v>
      </c>
      <c r="L4" s="179">
        <f t="shared" ref="L4:P4" si="8">IFERROR(S4/Y4*$D4,"")</f>
        <v>0</v>
      </c>
      <c r="M4" s="179">
        <f t="shared" si="8"/>
        <v>0</v>
      </c>
      <c r="N4" s="179">
        <f t="shared" si="8"/>
        <v>0</v>
      </c>
      <c r="O4" s="179">
        <f t="shared" si="8"/>
        <v>0</v>
      </c>
      <c r="P4" s="179">
        <f t="shared" si="8"/>
        <v>0</v>
      </c>
      <c r="Q4" s="162">
        <v>90</v>
      </c>
      <c r="R4" s="163">
        <v>0</v>
      </c>
      <c r="S4" s="163">
        <v>0</v>
      </c>
      <c r="T4" s="163">
        <v>0</v>
      </c>
      <c r="U4" s="163">
        <v>0</v>
      </c>
      <c r="V4" s="163">
        <v>0</v>
      </c>
      <c r="W4" s="163">
        <v>0</v>
      </c>
      <c r="X4" s="164">
        <f t="shared" ref="X4:AC4" si="9">AD4*($Q4/100)</f>
        <v>4348.8</v>
      </c>
      <c r="Y4" s="164">
        <f t="shared" si="9"/>
        <v>4095</v>
      </c>
      <c r="Z4" s="164">
        <f t="shared" si="9"/>
        <v>4336.1099999999997</v>
      </c>
      <c r="AA4" s="164">
        <f t="shared" si="9"/>
        <v>4329.2700000000004</v>
      </c>
      <c r="AB4" s="164">
        <f t="shared" si="9"/>
        <v>4328.6400000000003</v>
      </c>
      <c r="AC4" s="164">
        <f t="shared" si="9"/>
        <v>4367.25</v>
      </c>
      <c r="AD4" s="165">
        <v>4832</v>
      </c>
      <c r="AE4" s="165">
        <v>4550</v>
      </c>
      <c r="AF4" s="165">
        <v>4817.8999999999996</v>
      </c>
      <c r="AG4" s="165">
        <v>4810.3</v>
      </c>
      <c r="AH4" s="165">
        <v>4809.6000000000004</v>
      </c>
      <c r="AI4" s="171">
        <v>4852.5</v>
      </c>
      <c r="AJ4" s="172">
        <v>0</v>
      </c>
      <c r="AK4" s="173">
        <v>0</v>
      </c>
      <c r="AL4" s="173">
        <v>0</v>
      </c>
      <c r="AM4" s="173">
        <v>0</v>
      </c>
      <c r="AN4" s="173">
        <v>0</v>
      </c>
      <c r="AO4" s="174">
        <v>0</v>
      </c>
      <c r="AP4" s="2" t="str">
        <f>IFERROR(VLOOKUP(C4,'2_LN_DadosExportados'!V:V,1,FALSE),"")</f>
        <v/>
      </c>
      <c r="AQ4" t="str" cm="1">
        <f t="array" ref="AQ4">IF(AND(ISERR(FIND("sim",INDEX('existencia de wc'!K$2:K$193,MATCH('3_Industrial_Plan_Idash'!C4,'existencia de wc'!B$2:B$192,0))))=FALSE,SUMPRODUCT(('2_LN_DadosExportados'!V$2:V$314='3_Industrial_Plan_Idash'!C4)*('2_LN_DadosExportados'!A$2:A$314="X"))&gt;0), "MOSTRAR","")</f>
        <v/>
      </c>
    </row>
    <row r="5" spans="1:43" ht="15.75" hidden="1" thickBot="1" x14ac:dyDescent="0.3">
      <c r="A5" s="153" t="str">
        <f t="shared" ref="A5:A68" si="10">IF(OR(E5&gt;=D5,F5&gt;=D5,G5&gt;=D5,H5&gt;=D5,I5&gt;=D5,J5&gt;=D5),"INVEST","OK")</f>
        <v>OK</v>
      </c>
      <c r="B5" s="161" t="s">
        <v>696</v>
      </c>
      <c r="C5" s="161" t="s">
        <v>697</v>
      </c>
      <c r="D5" s="186">
        <v>1</v>
      </c>
      <c r="E5" s="181">
        <f>IFERROR(((SUMIFS('2_LN_DadosExportados'!AL:AL,'2_LN_DadosExportados'!$V:$V,$C5,'2_LN_DadosExportados'!$A:$A,"X")+R5)/X5)*$D5,"")</f>
        <v>0</v>
      </c>
      <c r="F5" s="181">
        <f>IFERROR(((SUMIFS('2_LN_DadosExportados'!AM:AM,'2_LN_DadosExportados'!$V:$V,$C5,'2_LN_DadosExportados'!$A:$A,"X")+S5)/Y5)*$D5,"")</f>
        <v>0</v>
      </c>
      <c r="G5" s="181">
        <f>IFERROR(((SUMIFS('2_LN_DadosExportados'!AN:AN,'2_LN_DadosExportados'!$V:$V,$C5,'2_LN_DadosExportados'!$A:$A,"X")+T5)/Z5)*$D5,"")</f>
        <v>0</v>
      </c>
      <c r="H5" s="181">
        <f>IFERROR(((SUMIFS('2_LN_DadosExportados'!AO:AO,'2_LN_DadosExportados'!$V:$V,$C5,'2_LN_DadosExportados'!$A:$A,"X")+U5)/AA5)*$D5,"")</f>
        <v>0</v>
      </c>
      <c r="I5" s="181">
        <f>IFERROR(((SUMIFS('2_LN_DadosExportados'!AP:AP,'2_LN_DadosExportados'!$V:$V,$C5,'2_LN_DadosExportados'!$A:$A,"X")+V5)/AB5)*$D5,"")</f>
        <v>0</v>
      </c>
      <c r="J5" s="181">
        <f>IFERROR(((SUMIFS('2_LN_DadosExportados'!AQ:AQ,'2_LN_DadosExportados'!$V:$V,$C5,'2_LN_DadosExportados'!$A:$A,"X")+W5)/AC5)*$D5,"")</f>
        <v>0</v>
      </c>
      <c r="K5" s="179">
        <f t="shared" ref="K5:K20" si="11">IFERROR(R5/X5*$D5,"")</f>
        <v>0</v>
      </c>
      <c r="L5" s="179">
        <f t="shared" ref="L5:L21" si="12">IFERROR(S5/Y5*$D5,"")</f>
        <v>0</v>
      </c>
      <c r="M5" s="179">
        <f t="shared" ref="M5:M21" si="13">IFERROR(T5/Z5*$D5,"")</f>
        <v>0</v>
      </c>
      <c r="N5" s="179">
        <f t="shared" ref="N5:N21" si="14">IFERROR(U5/AA5*$D5,"")</f>
        <v>0</v>
      </c>
      <c r="O5" s="179">
        <f t="shared" ref="O5:O21" si="15">IFERROR(V5/AB5*$D5,"")</f>
        <v>0</v>
      </c>
      <c r="P5" s="179">
        <f t="shared" ref="P5:P21" si="16">IFERROR(W5/AC5*$D5,"")</f>
        <v>0</v>
      </c>
      <c r="Q5" s="162">
        <v>90</v>
      </c>
      <c r="R5" s="163">
        <v>0</v>
      </c>
      <c r="S5" s="163">
        <v>0</v>
      </c>
      <c r="T5" s="163">
        <v>0</v>
      </c>
      <c r="U5" s="163">
        <v>0</v>
      </c>
      <c r="V5" s="163">
        <v>0</v>
      </c>
      <c r="W5" s="163">
        <v>0</v>
      </c>
      <c r="X5" s="164">
        <f t="shared" ref="X5:X68" si="17">AD5*($Q5/100)</f>
        <v>4348.8</v>
      </c>
      <c r="Y5" s="164">
        <f t="shared" ref="Y5:Y68" si="18">AE5*($Q5/100)</f>
        <v>4095</v>
      </c>
      <c r="Z5" s="164">
        <f t="shared" ref="Z5:Z68" si="19">AF5*($Q5/100)</f>
        <v>4336.1099999999997</v>
      </c>
      <c r="AA5" s="164">
        <f t="shared" ref="AA5:AA68" si="20">AG5*($Q5/100)</f>
        <v>4329.2700000000004</v>
      </c>
      <c r="AB5" s="164">
        <f t="shared" ref="AB5:AB68" si="21">AH5*($Q5/100)</f>
        <v>4328.6400000000003</v>
      </c>
      <c r="AC5" s="164">
        <f t="shared" ref="AC5:AC68" si="22">AI5*($Q5/100)</f>
        <v>4367.25</v>
      </c>
      <c r="AD5" s="165">
        <v>4832</v>
      </c>
      <c r="AE5" s="165">
        <v>4550</v>
      </c>
      <c r="AF5" s="165">
        <v>4817.8999999999996</v>
      </c>
      <c r="AG5" s="165">
        <v>4810.3</v>
      </c>
      <c r="AH5" s="165">
        <v>4809.6000000000004</v>
      </c>
      <c r="AI5" s="165">
        <v>4852.5</v>
      </c>
      <c r="AJ5" s="169">
        <v>0</v>
      </c>
      <c r="AK5" s="169">
        <v>0</v>
      </c>
      <c r="AL5" s="169">
        <v>0</v>
      </c>
      <c r="AM5" s="169">
        <v>0</v>
      </c>
      <c r="AN5" s="169">
        <v>0</v>
      </c>
      <c r="AO5" s="169">
        <v>0</v>
      </c>
      <c r="AP5" s="2" t="str">
        <f>IFERROR(VLOOKUP(C5,'2_LN_DadosExportados'!V:V,1,FALSE),"")</f>
        <v/>
      </c>
      <c r="AQ5" t="str" cm="1">
        <f t="array" ref="AQ5">IF(AND(ISERR(FIND("sim",INDEX('existencia de wc'!K$2:K$193,MATCH('3_Industrial_Plan_Idash'!C5,'existencia de wc'!B$2:B$192,0))))=FALSE,SUMPRODUCT(('2_LN_DadosExportados'!V$2:V$314='3_Industrial_Plan_Idash'!C5)*('2_LN_DadosExportados'!A$2:A$314="X"))&gt;0), "MOSTRAR","")</f>
        <v/>
      </c>
    </row>
    <row r="6" spans="1:43" ht="15.75" hidden="1" thickBot="1" x14ac:dyDescent="0.3">
      <c r="A6" s="153" t="str">
        <f t="shared" si="10"/>
        <v>OK</v>
      </c>
      <c r="B6" s="161" t="s">
        <v>698</v>
      </c>
      <c r="C6" s="161" t="s">
        <v>699</v>
      </c>
      <c r="D6" s="186">
        <v>1</v>
      </c>
      <c r="E6" s="181">
        <f>IFERROR(((SUMIFS('2_LN_DadosExportados'!AL:AL,'2_LN_DadosExportados'!$V:$V,$C6,'2_LN_DadosExportados'!$A:$A,"X")+R6)/X6)*$D6,"")</f>
        <v>0</v>
      </c>
      <c r="F6" s="181">
        <f>IFERROR(((SUMIFS('2_LN_DadosExportados'!AM:AM,'2_LN_DadosExportados'!$V:$V,$C6,'2_LN_DadosExportados'!$A:$A,"X")+S6)/Y6)*$D6,"")</f>
        <v>0</v>
      </c>
      <c r="G6" s="181">
        <f>IFERROR(((SUMIFS('2_LN_DadosExportados'!AN:AN,'2_LN_DadosExportados'!$V:$V,$C6,'2_LN_DadosExportados'!$A:$A,"X")+T6)/Z6)*$D6,"")</f>
        <v>0</v>
      </c>
      <c r="H6" s="181">
        <f>IFERROR(((SUMIFS('2_LN_DadosExportados'!AO:AO,'2_LN_DadosExportados'!$V:$V,$C6,'2_LN_DadosExportados'!$A:$A,"X")+U6)/AA6)*$D6,"")</f>
        <v>0</v>
      </c>
      <c r="I6" s="181">
        <f>IFERROR(((SUMIFS('2_LN_DadosExportados'!AP:AP,'2_LN_DadosExportados'!$V:$V,$C6,'2_LN_DadosExportados'!$A:$A,"X")+V6)/AB6)*$D6,"")</f>
        <v>0</v>
      </c>
      <c r="J6" s="181">
        <f>IFERROR(((SUMIFS('2_LN_DadosExportados'!AQ:AQ,'2_LN_DadosExportados'!$V:$V,$C6,'2_LN_DadosExportados'!$A:$A,"X")+W6)/AC6)*$D6,"")</f>
        <v>0</v>
      </c>
      <c r="K6" s="179">
        <f t="shared" si="11"/>
        <v>0</v>
      </c>
      <c r="L6" s="179">
        <f t="shared" si="12"/>
        <v>0</v>
      </c>
      <c r="M6" s="179">
        <f t="shared" si="13"/>
        <v>0</v>
      </c>
      <c r="N6" s="179">
        <f t="shared" si="14"/>
        <v>0</v>
      </c>
      <c r="O6" s="179">
        <f t="shared" si="15"/>
        <v>0</v>
      </c>
      <c r="P6" s="179">
        <f t="shared" si="16"/>
        <v>0</v>
      </c>
      <c r="Q6" s="162">
        <v>90</v>
      </c>
      <c r="R6" s="163">
        <v>0</v>
      </c>
      <c r="S6" s="163">
        <v>0</v>
      </c>
      <c r="T6" s="163">
        <v>0</v>
      </c>
      <c r="U6" s="163">
        <v>0</v>
      </c>
      <c r="V6" s="163">
        <v>0</v>
      </c>
      <c r="W6" s="163">
        <v>0</v>
      </c>
      <c r="X6" s="164">
        <f t="shared" si="17"/>
        <v>4348.8</v>
      </c>
      <c r="Y6" s="164">
        <f t="shared" si="18"/>
        <v>4095</v>
      </c>
      <c r="Z6" s="164">
        <f t="shared" si="19"/>
        <v>4336.1099999999997</v>
      </c>
      <c r="AA6" s="164">
        <f t="shared" si="20"/>
        <v>4329.2700000000004</v>
      </c>
      <c r="AB6" s="164">
        <f t="shared" si="21"/>
        <v>4328.6400000000003</v>
      </c>
      <c r="AC6" s="164">
        <f t="shared" si="22"/>
        <v>4367.25</v>
      </c>
      <c r="AD6" s="165">
        <v>4832</v>
      </c>
      <c r="AE6" s="165">
        <v>4550</v>
      </c>
      <c r="AF6" s="165">
        <v>4817.8999999999996</v>
      </c>
      <c r="AG6" s="165">
        <v>4810.3</v>
      </c>
      <c r="AH6" s="165">
        <v>4809.6000000000004</v>
      </c>
      <c r="AI6" s="165">
        <v>4852.5</v>
      </c>
      <c r="AJ6" s="166">
        <v>0</v>
      </c>
      <c r="AK6" s="166">
        <v>0</v>
      </c>
      <c r="AL6" s="166">
        <v>0</v>
      </c>
      <c r="AM6" s="166">
        <v>0</v>
      </c>
      <c r="AN6" s="166">
        <v>0</v>
      </c>
      <c r="AO6" s="166">
        <v>0</v>
      </c>
      <c r="AP6" s="2" t="str">
        <f>IFERROR(VLOOKUP(C6,'2_LN_DadosExportados'!V:V,1,FALSE),"")</f>
        <v/>
      </c>
      <c r="AQ6" t="str" cm="1">
        <f t="array" ref="AQ6">IF(AND(ISERR(FIND("sim",INDEX('existencia de wc'!K$2:K$193,MATCH('3_Industrial_Plan_Idash'!C6,'existencia de wc'!B$2:B$192,0))))=FALSE,SUMPRODUCT(('2_LN_DadosExportados'!V$2:V$314='3_Industrial_Plan_Idash'!C6)*('2_LN_DadosExportados'!A$2:A$314="X"))&gt;0), "MOSTRAR","")</f>
        <v/>
      </c>
    </row>
    <row r="7" spans="1:43" ht="15.75" hidden="1" thickBot="1" x14ac:dyDescent="0.3">
      <c r="A7" s="153" t="str">
        <f t="shared" si="10"/>
        <v>OK</v>
      </c>
      <c r="B7" s="161" t="s">
        <v>700</v>
      </c>
      <c r="C7" s="161" t="s">
        <v>701</v>
      </c>
      <c r="D7" s="186">
        <v>1</v>
      </c>
      <c r="E7" s="181">
        <f>IFERROR(((SUMIFS('2_LN_DadosExportados'!AL:AL,'2_LN_DadosExportados'!$V:$V,$C7,'2_LN_DadosExportados'!$A:$A,"X")+R7)/X7)*$D7,"")</f>
        <v>0</v>
      </c>
      <c r="F7" s="181">
        <f>IFERROR(((SUMIFS('2_LN_DadosExportados'!AM:AM,'2_LN_DadosExportados'!$V:$V,$C7,'2_LN_DadosExportados'!$A:$A,"X")+S7)/Y7)*$D7,"")</f>
        <v>0</v>
      </c>
      <c r="G7" s="181">
        <f>IFERROR(((SUMIFS('2_LN_DadosExportados'!AN:AN,'2_LN_DadosExportados'!$V:$V,$C7,'2_LN_DadosExportados'!$A:$A,"X")+T7)/Z7)*$D7,"")</f>
        <v>0</v>
      </c>
      <c r="H7" s="181">
        <f>IFERROR(((SUMIFS('2_LN_DadosExportados'!AO:AO,'2_LN_DadosExportados'!$V:$V,$C7,'2_LN_DadosExportados'!$A:$A,"X")+U7)/AA7)*$D7,"")</f>
        <v>0</v>
      </c>
      <c r="I7" s="181">
        <f>IFERROR(((SUMIFS('2_LN_DadosExportados'!AP:AP,'2_LN_DadosExportados'!$V:$V,$C7,'2_LN_DadosExportados'!$A:$A,"X")+V7)/AB7)*$D7,"")</f>
        <v>0</v>
      </c>
      <c r="J7" s="181">
        <f>IFERROR(((SUMIFS('2_LN_DadosExportados'!AQ:AQ,'2_LN_DadosExportados'!$V:$V,$C7,'2_LN_DadosExportados'!$A:$A,"X")+W7)/AC7)*$D7,"")</f>
        <v>0</v>
      </c>
      <c r="K7" s="179">
        <f t="shared" si="11"/>
        <v>0</v>
      </c>
      <c r="L7" s="179">
        <f t="shared" si="12"/>
        <v>0</v>
      </c>
      <c r="M7" s="179">
        <f t="shared" si="13"/>
        <v>0</v>
      </c>
      <c r="N7" s="179">
        <f t="shared" si="14"/>
        <v>0</v>
      </c>
      <c r="O7" s="179">
        <f t="shared" si="15"/>
        <v>0</v>
      </c>
      <c r="P7" s="179">
        <f t="shared" si="16"/>
        <v>0</v>
      </c>
      <c r="Q7" s="162">
        <v>90</v>
      </c>
      <c r="R7" s="163">
        <v>0</v>
      </c>
      <c r="S7" s="163">
        <v>0</v>
      </c>
      <c r="T7" s="163">
        <v>0</v>
      </c>
      <c r="U7" s="163">
        <v>0</v>
      </c>
      <c r="V7" s="163">
        <v>0</v>
      </c>
      <c r="W7" s="163">
        <v>0</v>
      </c>
      <c r="X7" s="164">
        <f t="shared" si="17"/>
        <v>4348.8</v>
      </c>
      <c r="Y7" s="164">
        <f t="shared" si="18"/>
        <v>4095</v>
      </c>
      <c r="Z7" s="164">
        <f t="shared" si="19"/>
        <v>4336.1099999999997</v>
      </c>
      <c r="AA7" s="164">
        <f t="shared" si="20"/>
        <v>4329.2700000000004</v>
      </c>
      <c r="AB7" s="164">
        <f t="shared" si="21"/>
        <v>4328.6400000000003</v>
      </c>
      <c r="AC7" s="164">
        <f t="shared" si="22"/>
        <v>4367.25</v>
      </c>
      <c r="AD7" s="165">
        <v>4832</v>
      </c>
      <c r="AE7" s="165">
        <v>4550</v>
      </c>
      <c r="AF7" s="165">
        <v>4817.8999999999996</v>
      </c>
      <c r="AG7" s="165">
        <v>4810.3</v>
      </c>
      <c r="AH7" s="165">
        <v>4809.6000000000004</v>
      </c>
      <c r="AI7" s="165">
        <v>4852.5</v>
      </c>
      <c r="AJ7" s="166">
        <v>0</v>
      </c>
      <c r="AK7" s="166">
        <v>0</v>
      </c>
      <c r="AL7" s="166">
        <v>0</v>
      </c>
      <c r="AM7" s="166">
        <v>0</v>
      </c>
      <c r="AN7" s="166">
        <v>0</v>
      </c>
      <c r="AO7" s="166">
        <v>0</v>
      </c>
      <c r="AP7" s="2" t="str">
        <f>IFERROR(VLOOKUP(C7,'2_LN_DadosExportados'!V:V,1,FALSE),"")</f>
        <v/>
      </c>
      <c r="AQ7" t="str" cm="1">
        <f t="array" ref="AQ7">IF(AND(ISERR(FIND("sim",INDEX('existencia de wc'!K$2:K$193,MATCH('3_Industrial_Plan_Idash'!C7,'existencia de wc'!B$2:B$192,0))))=FALSE,SUMPRODUCT(('2_LN_DadosExportados'!V$2:V$314='3_Industrial_Plan_Idash'!C7)*('2_LN_DadosExportados'!A$2:A$314="X"))&gt;0), "MOSTRAR","")</f>
        <v/>
      </c>
    </row>
    <row r="8" spans="1:43" ht="15.75" hidden="1" thickBot="1" x14ac:dyDescent="0.3">
      <c r="A8" s="153" t="str">
        <f t="shared" si="10"/>
        <v>OK</v>
      </c>
      <c r="B8" s="161" t="s">
        <v>702</v>
      </c>
      <c r="C8" s="161" t="s">
        <v>703</v>
      </c>
      <c r="D8" s="186">
        <v>1</v>
      </c>
      <c r="E8" s="181">
        <f>IFERROR(((SUMIFS('2_LN_DadosExportados'!AL:AL,'2_LN_DadosExportados'!$V:$V,$C8,'2_LN_DadosExportados'!$A:$A,"X")+R8)/X8)*$D8,"")</f>
        <v>0</v>
      </c>
      <c r="F8" s="181">
        <f>IFERROR(((SUMIFS('2_LN_DadosExportados'!AM:AM,'2_LN_DadosExportados'!$V:$V,$C8,'2_LN_DadosExportados'!$A:$A,"X")+S8)/Y8)*$D8,"")</f>
        <v>0</v>
      </c>
      <c r="G8" s="181">
        <f>IFERROR(((SUMIFS('2_LN_DadosExportados'!AN:AN,'2_LN_DadosExportados'!$V:$V,$C8,'2_LN_DadosExportados'!$A:$A,"X")+T8)/Z8)*$D8,"")</f>
        <v>0</v>
      </c>
      <c r="H8" s="181">
        <f>IFERROR(((SUMIFS('2_LN_DadosExportados'!AO:AO,'2_LN_DadosExportados'!$V:$V,$C8,'2_LN_DadosExportados'!$A:$A,"X")+U8)/AA8)*$D8,"")</f>
        <v>0</v>
      </c>
      <c r="I8" s="181">
        <f>IFERROR(((SUMIFS('2_LN_DadosExportados'!AP:AP,'2_LN_DadosExportados'!$V:$V,$C8,'2_LN_DadosExportados'!$A:$A,"X")+V8)/AB8)*$D8,"")</f>
        <v>0</v>
      </c>
      <c r="J8" s="181">
        <f>IFERROR(((SUMIFS('2_LN_DadosExportados'!AQ:AQ,'2_LN_DadosExportados'!$V:$V,$C8,'2_LN_DadosExportados'!$A:$A,"X")+W8)/AC8)*$D8,"")</f>
        <v>0</v>
      </c>
      <c r="K8" s="179">
        <f t="shared" si="11"/>
        <v>0</v>
      </c>
      <c r="L8" s="179">
        <f t="shared" si="12"/>
        <v>0</v>
      </c>
      <c r="M8" s="179">
        <f t="shared" si="13"/>
        <v>0</v>
      </c>
      <c r="N8" s="179">
        <f t="shared" si="14"/>
        <v>0</v>
      </c>
      <c r="O8" s="179">
        <f t="shared" si="15"/>
        <v>0</v>
      </c>
      <c r="P8" s="179">
        <f t="shared" si="16"/>
        <v>0</v>
      </c>
      <c r="Q8" s="162">
        <v>90</v>
      </c>
      <c r="R8" s="163">
        <v>0</v>
      </c>
      <c r="S8" s="163">
        <v>0</v>
      </c>
      <c r="T8" s="163">
        <v>0</v>
      </c>
      <c r="U8" s="163">
        <v>0</v>
      </c>
      <c r="V8" s="163">
        <v>0</v>
      </c>
      <c r="W8" s="163">
        <v>0</v>
      </c>
      <c r="X8" s="164">
        <f t="shared" si="17"/>
        <v>4348.8</v>
      </c>
      <c r="Y8" s="164">
        <f t="shared" si="18"/>
        <v>4095</v>
      </c>
      <c r="Z8" s="164">
        <f t="shared" si="19"/>
        <v>4336.1099999999997</v>
      </c>
      <c r="AA8" s="164">
        <f t="shared" si="20"/>
        <v>4329.2700000000004</v>
      </c>
      <c r="AB8" s="164">
        <f t="shared" si="21"/>
        <v>4328.6400000000003</v>
      </c>
      <c r="AC8" s="164">
        <f t="shared" si="22"/>
        <v>4367.25</v>
      </c>
      <c r="AD8" s="165">
        <v>4832</v>
      </c>
      <c r="AE8" s="165">
        <v>4550</v>
      </c>
      <c r="AF8" s="165">
        <v>4817.8999999999996</v>
      </c>
      <c r="AG8" s="165">
        <v>4810.3</v>
      </c>
      <c r="AH8" s="165">
        <v>4809.6000000000004</v>
      </c>
      <c r="AI8" s="165">
        <v>4852.5</v>
      </c>
      <c r="AJ8" s="166">
        <v>0</v>
      </c>
      <c r="AK8" s="166">
        <v>0</v>
      </c>
      <c r="AL8" s="166">
        <v>0</v>
      </c>
      <c r="AM8" s="166">
        <v>0</v>
      </c>
      <c r="AN8" s="166">
        <v>0</v>
      </c>
      <c r="AO8" s="166">
        <v>0</v>
      </c>
      <c r="AP8" s="2" t="str">
        <f>IFERROR(VLOOKUP(C8,'2_LN_DadosExportados'!V:V,1,FALSE),"")</f>
        <v/>
      </c>
      <c r="AQ8" t="str" cm="1">
        <f t="array" ref="AQ8">IF(AND(ISERR(FIND("sim",INDEX('existencia de wc'!K$2:K$193,MATCH('3_Industrial_Plan_Idash'!C8,'existencia de wc'!B$2:B$192,0))))=FALSE,SUMPRODUCT(('2_LN_DadosExportados'!V$2:V$314='3_Industrial_Plan_Idash'!C8)*('2_LN_DadosExportados'!A$2:A$314="X"))&gt;0), "MOSTRAR","")</f>
        <v/>
      </c>
    </row>
    <row r="9" spans="1:43" ht="15.75" hidden="1" thickBot="1" x14ac:dyDescent="0.3">
      <c r="A9" s="153" t="str">
        <f t="shared" si="10"/>
        <v>OK</v>
      </c>
      <c r="B9" s="161" t="s">
        <v>704</v>
      </c>
      <c r="C9" s="161" t="s">
        <v>705</v>
      </c>
      <c r="D9" s="186">
        <v>1</v>
      </c>
      <c r="E9" s="181">
        <f>IFERROR(((SUMIFS('2_LN_DadosExportados'!AL:AL,'2_LN_DadosExportados'!$V:$V,$C9,'2_LN_DadosExportados'!$A:$A,"X")+R9)/X9)*$D9,"")</f>
        <v>0</v>
      </c>
      <c r="F9" s="181">
        <f>IFERROR(((SUMIFS('2_LN_DadosExportados'!AM:AM,'2_LN_DadosExportados'!$V:$V,$C9,'2_LN_DadosExportados'!$A:$A,"X")+S9)/Y9)*$D9,"")</f>
        <v>0</v>
      </c>
      <c r="G9" s="181">
        <f>IFERROR(((SUMIFS('2_LN_DadosExportados'!AN:AN,'2_LN_DadosExportados'!$V:$V,$C9,'2_LN_DadosExportados'!$A:$A,"X")+T9)/Z9)*$D9,"")</f>
        <v>0</v>
      </c>
      <c r="H9" s="181">
        <f>IFERROR(((SUMIFS('2_LN_DadosExportados'!AO:AO,'2_LN_DadosExportados'!$V:$V,$C9,'2_LN_DadosExportados'!$A:$A,"X")+U9)/AA9)*$D9,"")</f>
        <v>0</v>
      </c>
      <c r="I9" s="181">
        <f>IFERROR(((SUMIFS('2_LN_DadosExportados'!AP:AP,'2_LN_DadosExportados'!$V:$V,$C9,'2_LN_DadosExportados'!$A:$A,"X")+V9)/AB9)*$D9,"")</f>
        <v>0</v>
      </c>
      <c r="J9" s="181">
        <f>IFERROR(((SUMIFS('2_LN_DadosExportados'!AQ:AQ,'2_LN_DadosExportados'!$V:$V,$C9,'2_LN_DadosExportados'!$A:$A,"X")+W9)/AC9)*$D9,"")</f>
        <v>0</v>
      </c>
      <c r="K9" s="179">
        <f t="shared" si="11"/>
        <v>0</v>
      </c>
      <c r="L9" s="179">
        <f t="shared" si="12"/>
        <v>0</v>
      </c>
      <c r="M9" s="179">
        <f t="shared" si="13"/>
        <v>0</v>
      </c>
      <c r="N9" s="179">
        <f t="shared" si="14"/>
        <v>0</v>
      </c>
      <c r="O9" s="179">
        <f t="shared" si="15"/>
        <v>0</v>
      </c>
      <c r="P9" s="179">
        <f t="shared" si="16"/>
        <v>0</v>
      </c>
      <c r="Q9" s="162">
        <v>90</v>
      </c>
      <c r="R9" s="163">
        <v>0</v>
      </c>
      <c r="S9" s="163">
        <v>0</v>
      </c>
      <c r="T9" s="163">
        <v>0</v>
      </c>
      <c r="U9" s="163">
        <v>0</v>
      </c>
      <c r="V9" s="163">
        <v>0</v>
      </c>
      <c r="W9" s="163">
        <v>0</v>
      </c>
      <c r="X9" s="164">
        <f t="shared" si="17"/>
        <v>4348.8</v>
      </c>
      <c r="Y9" s="164">
        <f t="shared" si="18"/>
        <v>4095</v>
      </c>
      <c r="Z9" s="164">
        <f t="shared" si="19"/>
        <v>4336.1099999999997</v>
      </c>
      <c r="AA9" s="164">
        <f t="shared" si="20"/>
        <v>4329.2700000000004</v>
      </c>
      <c r="AB9" s="164">
        <f t="shared" si="21"/>
        <v>4328.6400000000003</v>
      </c>
      <c r="AC9" s="164">
        <f t="shared" si="22"/>
        <v>4367.25</v>
      </c>
      <c r="AD9" s="165">
        <v>4832</v>
      </c>
      <c r="AE9" s="165">
        <v>4550</v>
      </c>
      <c r="AF9" s="165">
        <v>4817.8999999999996</v>
      </c>
      <c r="AG9" s="165">
        <v>4810.3</v>
      </c>
      <c r="AH9" s="165">
        <v>4809.6000000000004</v>
      </c>
      <c r="AI9" s="165">
        <v>4852.5</v>
      </c>
      <c r="AJ9" s="166">
        <v>0</v>
      </c>
      <c r="AK9" s="166">
        <v>0</v>
      </c>
      <c r="AL9" s="166">
        <v>0</v>
      </c>
      <c r="AM9" s="166">
        <v>0</v>
      </c>
      <c r="AN9" s="166">
        <v>0</v>
      </c>
      <c r="AO9" s="166">
        <v>0</v>
      </c>
      <c r="AP9" s="2" t="str">
        <f>IFERROR(VLOOKUP(C9,'2_LN_DadosExportados'!V:V,1,FALSE),"")</f>
        <v/>
      </c>
      <c r="AQ9" t="str" cm="1">
        <f t="array" ref="AQ9">IF(AND(ISERR(FIND("sim",INDEX('existencia de wc'!K$2:K$193,MATCH('3_Industrial_Plan_Idash'!C9,'existencia de wc'!B$2:B$192,0))))=FALSE,SUMPRODUCT(('2_LN_DadosExportados'!V$2:V$314='3_Industrial_Plan_Idash'!C9)*('2_LN_DadosExportados'!A$2:A$314="X"))&gt;0), "MOSTRAR","")</f>
        <v/>
      </c>
    </row>
    <row r="10" spans="1:43" ht="15.75" hidden="1" thickBot="1" x14ac:dyDescent="0.3">
      <c r="A10" s="153" t="str">
        <f t="shared" si="10"/>
        <v>OK</v>
      </c>
      <c r="B10" s="161" t="s">
        <v>706</v>
      </c>
      <c r="C10" s="161" t="s">
        <v>707</v>
      </c>
      <c r="D10" s="186">
        <v>1</v>
      </c>
      <c r="E10" s="181">
        <f>IFERROR(((SUMIFS('2_LN_DadosExportados'!AL:AL,'2_LN_DadosExportados'!$V:$V,$C10,'2_LN_DadosExportados'!$A:$A,"X")+R10)/X10)*$D10,"")</f>
        <v>0</v>
      </c>
      <c r="F10" s="181">
        <f>IFERROR(((SUMIFS('2_LN_DadosExportados'!AM:AM,'2_LN_DadosExportados'!$V:$V,$C10,'2_LN_DadosExportados'!$A:$A,"X")+S10)/Y10)*$D10,"")</f>
        <v>0</v>
      </c>
      <c r="G10" s="181">
        <f>IFERROR(((SUMIFS('2_LN_DadosExportados'!AN:AN,'2_LN_DadosExportados'!$V:$V,$C10,'2_LN_DadosExportados'!$A:$A,"X")+T10)/Z10)*$D10,"")</f>
        <v>0</v>
      </c>
      <c r="H10" s="181">
        <f>IFERROR(((SUMIFS('2_LN_DadosExportados'!AO:AO,'2_LN_DadosExportados'!$V:$V,$C10,'2_LN_DadosExportados'!$A:$A,"X")+U10)/AA10)*$D10,"")</f>
        <v>0</v>
      </c>
      <c r="I10" s="181">
        <f>IFERROR(((SUMIFS('2_LN_DadosExportados'!AP:AP,'2_LN_DadosExportados'!$V:$V,$C10,'2_LN_DadosExportados'!$A:$A,"X")+V10)/AB10)*$D10,"")</f>
        <v>0</v>
      </c>
      <c r="J10" s="181">
        <f>IFERROR(((SUMIFS('2_LN_DadosExportados'!AQ:AQ,'2_LN_DadosExportados'!$V:$V,$C10,'2_LN_DadosExportados'!$A:$A,"X")+W10)/AC10)*$D10,"")</f>
        <v>0</v>
      </c>
      <c r="K10" s="179">
        <f t="shared" si="11"/>
        <v>0</v>
      </c>
      <c r="L10" s="179">
        <f t="shared" si="12"/>
        <v>0</v>
      </c>
      <c r="M10" s="179">
        <f t="shared" si="13"/>
        <v>0</v>
      </c>
      <c r="N10" s="179">
        <f t="shared" si="14"/>
        <v>0</v>
      </c>
      <c r="O10" s="179">
        <f t="shared" si="15"/>
        <v>0</v>
      </c>
      <c r="P10" s="179">
        <f t="shared" si="16"/>
        <v>0</v>
      </c>
      <c r="Q10" s="162">
        <v>90</v>
      </c>
      <c r="R10" s="163">
        <v>0</v>
      </c>
      <c r="S10" s="163">
        <v>0</v>
      </c>
      <c r="T10" s="163">
        <v>0</v>
      </c>
      <c r="U10" s="163">
        <v>0</v>
      </c>
      <c r="V10" s="163">
        <v>0</v>
      </c>
      <c r="W10" s="163">
        <v>0</v>
      </c>
      <c r="X10" s="164">
        <f t="shared" si="17"/>
        <v>4348.8</v>
      </c>
      <c r="Y10" s="164">
        <f t="shared" si="18"/>
        <v>4095</v>
      </c>
      <c r="Z10" s="164">
        <f t="shared" si="19"/>
        <v>4336.1099999999997</v>
      </c>
      <c r="AA10" s="164">
        <f t="shared" si="20"/>
        <v>4329.2700000000004</v>
      </c>
      <c r="AB10" s="164">
        <f t="shared" si="21"/>
        <v>4328.6400000000003</v>
      </c>
      <c r="AC10" s="164">
        <f t="shared" si="22"/>
        <v>4367.25</v>
      </c>
      <c r="AD10" s="165">
        <v>4832</v>
      </c>
      <c r="AE10" s="165">
        <v>4550</v>
      </c>
      <c r="AF10" s="165">
        <v>4817.8999999999996</v>
      </c>
      <c r="AG10" s="165">
        <v>4810.3</v>
      </c>
      <c r="AH10" s="165">
        <v>4809.6000000000004</v>
      </c>
      <c r="AI10" s="165">
        <v>4852.5</v>
      </c>
      <c r="AJ10" s="166">
        <v>0</v>
      </c>
      <c r="AK10" s="166">
        <v>0</v>
      </c>
      <c r="AL10" s="166">
        <v>0</v>
      </c>
      <c r="AM10" s="166">
        <v>0</v>
      </c>
      <c r="AN10" s="166">
        <v>0</v>
      </c>
      <c r="AO10" s="166">
        <v>0</v>
      </c>
      <c r="AP10" s="2" t="str">
        <f>IFERROR(VLOOKUP(C10,'2_LN_DadosExportados'!V:V,1,FALSE),"")</f>
        <v/>
      </c>
      <c r="AQ10" t="str" cm="1">
        <f t="array" ref="AQ10">IF(AND(ISERR(FIND("sim",INDEX('existencia de wc'!K$2:K$193,MATCH('3_Industrial_Plan_Idash'!C10,'existencia de wc'!B$2:B$192,0))))=FALSE,SUMPRODUCT(('2_LN_DadosExportados'!V$2:V$314='3_Industrial_Plan_Idash'!C10)*('2_LN_DadosExportados'!A$2:A$314="X"))&gt;0), "MOSTRAR","")</f>
        <v/>
      </c>
    </row>
    <row r="11" spans="1:43" ht="15.75" hidden="1" thickBot="1" x14ac:dyDescent="0.3">
      <c r="A11" s="153" t="str">
        <f t="shared" si="10"/>
        <v>OK</v>
      </c>
      <c r="B11" s="161" t="s">
        <v>708</v>
      </c>
      <c r="C11" s="161" t="s">
        <v>709</v>
      </c>
      <c r="D11" s="186">
        <v>1</v>
      </c>
      <c r="E11" s="181">
        <f>IFERROR(((SUMIFS('2_LN_DadosExportados'!AL:AL,'2_LN_DadosExportados'!$V:$V,$C11,'2_LN_DadosExportados'!$A:$A,"X")+R11)/X11)*$D11,"")</f>
        <v>0</v>
      </c>
      <c r="F11" s="181">
        <f>IFERROR(((SUMIFS('2_LN_DadosExportados'!AM:AM,'2_LN_DadosExportados'!$V:$V,$C11,'2_LN_DadosExportados'!$A:$A,"X")+S11)/Y11)*$D11,"")</f>
        <v>0</v>
      </c>
      <c r="G11" s="181">
        <f>IFERROR(((SUMIFS('2_LN_DadosExportados'!AN:AN,'2_LN_DadosExportados'!$V:$V,$C11,'2_LN_DadosExportados'!$A:$A,"X")+T11)/Z11)*$D11,"")</f>
        <v>0</v>
      </c>
      <c r="H11" s="181">
        <f>IFERROR(((SUMIFS('2_LN_DadosExportados'!AO:AO,'2_LN_DadosExportados'!$V:$V,$C11,'2_LN_DadosExportados'!$A:$A,"X")+U11)/AA11)*$D11,"")</f>
        <v>0</v>
      </c>
      <c r="I11" s="181">
        <f>IFERROR(((SUMIFS('2_LN_DadosExportados'!AP:AP,'2_LN_DadosExportados'!$V:$V,$C11,'2_LN_DadosExportados'!$A:$A,"X")+V11)/AB11)*$D11,"")</f>
        <v>0</v>
      </c>
      <c r="J11" s="181">
        <f>IFERROR(((SUMIFS('2_LN_DadosExportados'!AQ:AQ,'2_LN_DadosExportados'!$V:$V,$C11,'2_LN_DadosExportados'!$A:$A,"X")+W11)/AC11)*$D11,"")</f>
        <v>0</v>
      </c>
      <c r="K11" s="179">
        <f t="shared" si="11"/>
        <v>0</v>
      </c>
      <c r="L11" s="179">
        <f t="shared" si="12"/>
        <v>0</v>
      </c>
      <c r="M11" s="179">
        <f t="shared" si="13"/>
        <v>0</v>
      </c>
      <c r="N11" s="179">
        <f t="shared" si="14"/>
        <v>0</v>
      </c>
      <c r="O11" s="179">
        <f t="shared" si="15"/>
        <v>0</v>
      </c>
      <c r="P11" s="179">
        <f t="shared" si="16"/>
        <v>0</v>
      </c>
      <c r="Q11" s="162">
        <v>90</v>
      </c>
      <c r="R11" s="163">
        <v>0</v>
      </c>
      <c r="S11" s="163">
        <v>0</v>
      </c>
      <c r="T11" s="163">
        <v>0</v>
      </c>
      <c r="U11" s="163">
        <v>0</v>
      </c>
      <c r="V11" s="163">
        <v>0</v>
      </c>
      <c r="W11" s="163">
        <v>0</v>
      </c>
      <c r="X11" s="164">
        <f t="shared" si="17"/>
        <v>4348.8</v>
      </c>
      <c r="Y11" s="164">
        <f t="shared" si="18"/>
        <v>4095</v>
      </c>
      <c r="Z11" s="164">
        <f t="shared" si="19"/>
        <v>4336.1099999999997</v>
      </c>
      <c r="AA11" s="164">
        <f t="shared" si="20"/>
        <v>4329.2700000000004</v>
      </c>
      <c r="AB11" s="164">
        <f t="shared" si="21"/>
        <v>4328.6400000000003</v>
      </c>
      <c r="AC11" s="164">
        <f t="shared" si="22"/>
        <v>4367.25</v>
      </c>
      <c r="AD11" s="165">
        <v>4832</v>
      </c>
      <c r="AE11" s="165">
        <v>4550</v>
      </c>
      <c r="AF11" s="165">
        <v>4817.8999999999996</v>
      </c>
      <c r="AG11" s="165">
        <v>4810.3</v>
      </c>
      <c r="AH11" s="165">
        <v>4809.6000000000004</v>
      </c>
      <c r="AI11" s="165">
        <v>4852.5</v>
      </c>
      <c r="AJ11" s="166">
        <v>0</v>
      </c>
      <c r="AK11" s="166">
        <v>0</v>
      </c>
      <c r="AL11" s="166">
        <v>0</v>
      </c>
      <c r="AM11" s="166">
        <v>0</v>
      </c>
      <c r="AN11" s="166">
        <v>0</v>
      </c>
      <c r="AO11" s="166">
        <v>0</v>
      </c>
      <c r="AP11" s="2" t="str">
        <f>IFERROR(VLOOKUP(C11,'2_LN_DadosExportados'!V:V,1,FALSE),"")</f>
        <v/>
      </c>
      <c r="AQ11" t="str" cm="1">
        <f t="array" ref="AQ11">IF(AND(ISERR(FIND("sim",INDEX('existencia de wc'!K$2:K$193,MATCH('3_Industrial_Plan_Idash'!C11,'existencia de wc'!B$2:B$192,0))))=FALSE,SUMPRODUCT(('2_LN_DadosExportados'!V$2:V$314='3_Industrial_Plan_Idash'!C11)*('2_LN_DadosExportados'!A$2:A$314="X"))&gt;0), "MOSTRAR","")</f>
        <v/>
      </c>
    </row>
    <row r="12" spans="1:43" ht="15.75" hidden="1" thickBot="1" x14ac:dyDescent="0.3">
      <c r="A12" s="153" t="str">
        <f t="shared" si="10"/>
        <v>OK</v>
      </c>
      <c r="B12" s="161" t="s">
        <v>710</v>
      </c>
      <c r="C12" s="161" t="s">
        <v>711</v>
      </c>
      <c r="D12" s="186">
        <v>1</v>
      </c>
      <c r="E12" s="181">
        <f>IFERROR(((SUMIFS('2_LN_DadosExportados'!AL:AL,'2_LN_DadosExportados'!$V:$V,$C12,'2_LN_DadosExportados'!$A:$A,"X")+R12)/X12)*$D12,"")</f>
        <v>0</v>
      </c>
      <c r="F12" s="181">
        <f>IFERROR(((SUMIFS('2_LN_DadosExportados'!AM:AM,'2_LN_DadosExportados'!$V:$V,$C12,'2_LN_DadosExportados'!$A:$A,"X")+S12)/Y12)*$D12,"")</f>
        <v>0</v>
      </c>
      <c r="G12" s="181">
        <f>IFERROR(((SUMIFS('2_LN_DadosExportados'!AN:AN,'2_LN_DadosExportados'!$V:$V,$C12,'2_LN_DadosExportados'!$A:$A,"X")+T12)/Z12)*$D12,"")</f>
        <v>0</v>
      </c>
      <c r="H12" s="181">
        <f>IFERROR(((SUMIFS('2_LN_DadosExportados'!AO:AO,'2_LN_DadosExportados'!$V:$V,$C12,'2_LN_DadosExportados'!$A:$A,"X")+U12)/AA12)*$D12,"")</f>
        <v>0</v>
      </c>
      <c r="I12" s="181">
        <f>IFERROR(((SUMIFS('2_LN_DadosExportados'!AP:AP,'2_LN_DadosExportados'!$V:$V,$C12,'2_LN_DadosExportados'!$A:$A,"X")+V12)/AB12)*$D12,"")</f>
        <v>0</v>
      </c>
      <c r="J12" s="181">
        <f>IFERROR(((SUMIFS('2_LN_DadosExportados'!AQ:AQ,'2_LN_DadosExportados'!$V:$V,$C12,'2_LN_DadosExportados'!$A:$A,"X")+W12)/AC12)*$D12,"")</f>
        <v>0</v>
      </c>
      <c r="K12" s="179">
        <f t="shared" si="11"/>
        <v>0</v>
      </c>
      <c r="L12" s="179">
        <f t="shared" si="12"/>
        <v>0</v>
      </c>
      <c r="M12" s="179">
        <f t="shared" si="13"/>
        <v>0</v>
      </c>
      <c r="N12" s="179">
        <f t="shared" si="14"/>
        <v>0</v>
      </c>
      <c r="O12" s="179">
        <f t="shared" si="15"/>
        <v>0</v>
      </c>
      <c r="P12" s="179">
        <f t="shared" si="16"/>
        <v>0</v>
      </c>
      <c r="Q12" s="162">
        <v>90</v>
      </c>
      <c r="R12" s="163">
        <v>0</v>
      </c>
      <c r="S12" s="163">
        <v>0</v>
      </c>
      <c r="T12" s="163">
        <v>0</v>
      </c>
      <c r="U12" s="163">
        <v>0</v>
      </c>
      <c r="V12" s="163">
        <v>0</v>
      </c>
      <c r="W12" s="163">
        <v>0</v>
      </c>
      <c r="X12" s="164">
        <f t="shared" si="17"/>
        <v>4348.8</v>
      </c>
      <c r="Y12" s="164">
        <f t="shared" si="18"/>
        <v>4095</v>
      </c>
      <c r="Z12" s="164">
        <f t="shared" si="19"/>
        <v>4336.1099999999997</v>
      </c>
      <c r="AA12" s="164">
        <f t="shared" si="20"/>
        <v>4329.2700000000004</v>
      </c>
      <c r="AB12" s="164">
        <f t="shared" si="21"/>
        <v>4328.6400000000003</v>
      </c>
      <c r="AC12" s="164">
        <f t="shared" si="22"/>
        <v>4367.25</v>
      </c>
      <c r="AD12" s="165">
        <v>4832</v>
      </c>
      <c r="AE12" s="165">
        <v>4550</v>
      </c>
      <c r="AF12" s="165">
        <v>4817.8999999999996</v>
      </c>
      <c r="AG12" s="165">
        <v>4810.3</v>
      </c>
      <c r="AH12" s="165">
        <v>4809.6000000000004</v>
      </c>
      <c r="AI12" s="165">
        <v>4852.5</v>
      </c>
      <c r="AJ12" s="166">
        <v>0</v>
      </c>
      <c r="AK12" s="166">
        <v>0</v>
      </c>
      <c r="AL12" s="166">
        <v>0</v>
      </c>
      <c r="AM12" s="166">
        <v>0</v>
      </c>
      <c r="AN12" s="166">
        <v>0</v>
      </c>
      <c r="AO12" s="166">
        <v>0</v>
      </c>
      <c r="AP12" s="2" t="str">
        <f>IFERROR(VLOOKUP(C12,'2_LN_DadosExportados'!V:V,1,FALSE),"")</f>
        <v/>
      </c>
      <c r="AQ12" t="str" cm="1">
        <f t="array" ref="AQ12">IF(AND(ISERR(FIND("sim",INDEX('existencia de wc'!K$2:K$193,MATCH('3_Industrial_Plan_Idash'!C12,'existencia de wc'!B$2:B$192,0))))=FALSE,SUMPRODUCT(('2_LN_DadosExportados'!V$2:V$314='3_Industrial_Plan_Idash'!C12)*('2_LN_DadosExportados'!A$2:A$314="X"))&gt;0), "MOSTRAR","")</f>
        <v/>
      </c>
    </row>
    <row r="13" spans="1:43" ht="15.75" hidden="1" thickBot="1" x14ac:dyDescent="0.3">
      <c r="A13" s="153" t="str">
        <f t="shared" si="10"/>
        <v>OK</v>
      </c>
      <c r="B13" s="161" t="s">
        <v>712</v>
      </c>
      <c r="C13" s="161" t="s">
        <v>713</v>
      </c>
      <c r="D13" s="186">
        <v>2</v>
      </c>
      <c r="E13" s="181">
        <f>IFERROR(((SUMIFS('2_LN_DadosExportados'!AL:AL,'2_LN_DadosExportados'!$V:$V,$C13,'2_LN_DadosExportados'!$A:$A,"X")+R13)/X13)*$D13,"")</f>
        <v>0</v>
      </c>
      <c r="F13" s="181">
        <f>IFERROR(((SUMIFS('2_LN_DadosExportados'!AM:AM,'2_LN_DadosExportados'!$V:$V,$C13,'2_LN_DadosExportados'!$A:$A,"X")+S13)/Y13)*$D13,"")</f>
        <v>0</v>
      </c>
      <c r="G13" s="181">
        <f>IFERROR(((SUMIFS('2_LN_DadosExportados'!AN:AN,'2_LN_DadosExportados'!$V:$V,$C13,'2_LN_DadosExportados'!$A:$A,"X")+T13)/Z13)*$D13,"")</f>
        <v>0</v>
      </c>
      <c r="H13" s="181">
        <f>IFERROR(((SUMIFS('2_LN_DadosExportados'!AO:AO,'2_LN_DadosExportados'!$V:$V,$C13,'2_LN_DadosExportados'!$A:$A,"X")+U13)/AA13)*$D13,"")</f>
        <v>0</v>
      </c>
      <c r="I13" s="181">
        <f>IFERROR(((SUMIFS('2_LN_DadosExportados'!AP:AP,'2_LN_DadosExportados'!$V:$V,$C13,'2_LN_DadosExportados'!$A:$A,"X")+V13)/AB13)*$D13,"")</f>
        <v>0</v>
      </c>
      <c r="J13" s="181">
        <f>IFERROR(((SUMIFS('2_LN_DadosExportados'!AQ:AQ,'2_LN_DadosExportados'!$V:$V,$C13,'2_LN_DadosExportados'!$A:$A,"X")+W13)/AC13)*$D13,"")</f>
        <v>0</v>
      </c>
      <c r="K13" s="179">
        <f t="shared" si="11"/>
        <v>0</v>
      </c>
      <c r="L13" s="179">
        <f t="shared" si="12"/>
        <v>0</v>
      </c>
      <c r="M13" s="179">
        <f t="shared" si="13"/>
        <v>0</v>
      </c>
      <c r="N13" s="179">
        <f t="shared" si="14"/>
        <v>0</v>
      </c>
      <c r="O13" s="179">
        <f t="shared" si="15"/>
        <v>0</v>
      </c>
      <c r="P13" s="179">
        <f t="shared" si="16"/>
        <v>0</v>
      </c>
      <c r="Q13" s="162">
        <v>90</v>
      </c>
      <c r="R13" s="163">
        <v>0</v>
      </c>
      <c r="S13" s="163">
        <v>0</v>
      </c>
      <c r="T13" s="163">
        <v>0</v>
      </c>
      <c r="U13" s="163">
        <v>0</v>
      </c>
      <c r="V13" s="163">
        <v>0</v>
      </c>
      <c r="W13" s="163">
        <v>0</v>
      </c>
      <c r="X13" s="164">
        <f t="shared" si="17"/>
        <v>8697.6</v>
      </c>
      <c r="Y13" s="164">
        <f t="shared" si="18"/>
        <v>8190</v>
      </c>
      <c r="Z13" s="164">
        <f t="shared" si="19"/>
        <v>8672.2199999999993</v>
      </c>
      <c r="AA13" s="164">
        <f t="shared" si="20"/>
        <v>8658.5400000000009</v>
      </c>
      <c r="AB13" s="164">
        <f t="shared" si="21"/>
        <v>8657.2800000000007</v>
      </c>
      <c r="AC13" s="164">
        <f t="shared" si="22"/>
        <v>8734.5</v>
      </c>
      <c r="AD13" s="165">
        <v>9664</v>
      </c>
      <c r="AE13" s="165">
        <v>9100</v>
      </c>
      <c r="AF13" s="165">
        <v>9635.7999999999993</v>
      </c>
      <c r="AG13" s="165">
        <v>9620.6</v>
      </c>
      <c r="AH13" s="165">
        <v>9619.2000000000007</v>
      </c>
      <c r="AI13" s="165">
        <v>9705</v>
      </c>
      <c r="AJ13" s="166">
        <v>0</v>
      </c>
      <c r="AK13" s="166">
        <v>0</v>
      </c>
      <c r="AL13" s="166">
        <v>0</v>
      </c>
      <c r="AM13" s="166">
        <v>0</v>
      </c>
      <c r="AN13" s="166">
        <v>0</v>
      </c>
      <c r="AO13" s="166">
        <v>0</v>
      </c>
      <c r="AP13" s="2" t="str">
        <f>IFERROR(VLOOKUP(C13,'2_LN_DadosExportados'!V:V,1,FALSE),"")</f>
        <v/>
      </c>
      <c r="AQ13" t="str" cm="1">
        <f t="array" ref="AQ13">IF(AND(ISERR(FIND("sim",INDEX('existencia de wc'!K$2:K$193,MATCH('3_Industrial_Plan_Idash'!C13,'existencia de wc'!B$2:B$192,0))))=FALSE,SUMPRODUCT(('2_LN_DadosExportados'!V$2:V$314='3_Industrial_Plan_Idash'!C13)*('2_LN_DadosExportados'!A$2:A$314="X"))&gt;0), "MOSTRAR","")</f>
        <v/>
      </c>
    </row>
    <row r="14" spans="1:43" ht="15.75" hidden="1" thickBot="1" x14ac:dyDescent="0.3">
      <c r="A14" s="153" t="str">
        <f t="shared" si="10"/>
        <v>OK</v>
      </c>
      <c r="B14" s="161" t="s">
        <v>714</v>
      </c>
      <c r="C14" s="161" t="s">
        <v>715</v>
      </c>
      <c r="D14" s="186">
        <v>2</v>
      </c>
      <c r="E14" s="181">
        <f>IFERROR(((SUMIFS('2_LN_DadosExportados'!AL:AL,'2_LN_DadosExportados'!$V:$V,$C14,'2_LN_DadosExportados'!$A:$A,"X")+R14)/X14)*$D14,"")</f>
        <v>0</v>
      </c>
      <c r="F14" s="181">
        <f>IFERROR(((SUMIFS('2_LN_DadosExportados'!AM:AM,'2_LN_DadosExportados'!$V:$V,$C14,'2_LN_DadosExportados'!$A:$A,"X")+S14)/Y14)*$D14,"")</f>
        <v>0</v>
      </c>
      <c r="G14" s="181">
        <f>IFERROR(((SUMIFS('2_LN_DadosExportados'!AN:AN,'2_LN_DadosExportados'!$V:$V,$C14,'2_LN_DadosExportados'!$A:$A,"X")+T14)/Z14)*$D14,"")</f>
        <v>0</v>
      </c>
      <c r="H14" s="181">
        <f>IFERROR(((SUMIFS('2_LN_DadosExportados'!AO:AO,'2_LN_DadosExportados'!$V:$V,$C14,'2_LN_DadosExportados'!$A:$A,"X")+U14)/AA14)*$D14,"")</f>
        <v>0</v>
      </c>
      <c r="I14" s="181">
        <f>IFERROR(((SUMIFS('2_LN_DadosExportados'!AP:AP,'2_LN_DadosExportados'!$V:$V,$C14,'2_LN_DadosExportados'!$A:$A,"X")+V14)/AB14)*$D14,"")</f>
        <v>0</v>
      </c>
      <c r="J14" s="181">
        <f>IFERROR(((SUMIFS('2_LN_DadosExportados'!AQ:AQ,'2_LN_DadosExportados'!$V:$V,$C14,'2_LN_DadosExportados'!$A:$A,"X")+W14)/AC14)*$D14,"")</f>
        <v>0</v>
      </c>
      <c r="K14" s="179">
        <f t="shared" si="11"/>
        <v>0</v>
      </c>
      <c r="L14" s="179">
        <f t="shared" si="12"/>
        <v>0</v>
      </c>
      <c r="M14" s="179">
        <f t="shared" si="13"/>
        <v>0</v>
      </c>
      <c r="N14" s="179">
        <f t="shared" si="14"/>
        <v>0</v>
      </c>
      <c r="O14" s="179">
        <f t="shared" si="15"/>
        <v>0</v>
      </c>
      <c r="P14" s="179">
        <f t="shared" si="16"/>
        <v>0</v>
      </c>
      <c r="Q14" s="162">
        <v>90</v>
      </c>
      <c r="R14" s="163">
        <v>0</v>
      </c>
      <c r="S14" s="163">
        <v>0</v>
      </c>
      <c r="T14" s="163">
        <v>0</v>
      </c>
      <c r="U14" s="163">
        <v>0</v>
      </c>
      <c r="V14" s="163">
        <v>0</v>
      </c>
      <c r="W14" s="163">
        <v>0</v>
      </c>
      <c r="X14" s="164">
        <f t="shared" si="17"/>
        <v>8697.6</v>
      </c>
      <c r="Y14" s="164">
        <f t="shared" si="18"/>
        <v>8190</v>
      </c>
      <c r="Z14" s="164">
        <f t="shared" si="19"/>
        <v>8672.2199999999993</v>
      </c>
      <c r="AA14" s="164">
        <f t="shared" si="20"/>
        <v>8658.5400000000009</v>
      </c>
      <c r="AB14" s="164">
        <f t="shared" si="21"/>
        <v>8657.2800000000007</v>
      </c>
      <c r="AC14" s="164">
        <f t="shared" si="22"/>
        <v>8734.5</v>
      </c>
      <c r="AD14" s="165">
        <v>9664</v>
      </c>
      <c r="AE14" s="165">
        <v>9100</v>
      </c>
      <c r="AF14" s="165">
        <v>9635.7999999999993</v>
      </c>
      <c r="AG14" s="165">
        <v>9620.6</v>
      </c>
      <c r="AH14" s="165">
        <v>9619.2000000000007</v>
      </c>
      <c r="AI14" s="165">
        <v>9705</v>
      </c>
      <c r="AJ14" s="166">
        <v>0</v>
      </c>
      <c r="AK14" s="166">
        <v>0</v>
      </c>
      <c r="AL14" s="166">
        <v>0</v>
      </c>
      <c r="AM14" s="166">
        <v>0</v>
      </c>
      <c r="AN14" s="166">
        <v>0</v>
      </c>
      <c r="AO14" s="166">
        <v>0</v>
      </c>
      <c r="AP14" s="2" t="str">
        <f>IFERROR(VLOOKUP(C14,'2_LN_DadosExportados'!V:V,1,FALSE),"")</f>
        <v/>
      </c>
      <c r="AQ14" t="str" cm="1">
        <f t="array" ref="AQ14">IF(AND(ISERR(FIND("sim",INDEX('existencia de wc'!K$2:K$193,MATCH('3_Industrial_Plan_Idash'!C14,'existencia de wc'!B$2:B$192,0))))=FALSE,SUMPRODUCT(('2_LN_DadosExportados'!V$2:V$314='3_Industrial_Plan_Idash'!C14)*('2_LN_DadosExportados'!A$2:A$314="X"))&gt;0), "MOSTRAR","")</f>
        <v/>
      </c>
    </row>
    <row r="15" spans="1:43" ht="15.75" hidden="1" thickBot="1" x14ac:dyDescent="0.3">
      <c r="A15" s="153" t="str">
        <f t="shared" si="10"/>
        <v>OK</v>
      </c>
      <c r="B15" s="161" t="s">
        <v>716</v>
      </c>
      <c r="C15" s="161" t="s">
        <v>717</v>
      </c>
      <c r="D15" s="186">
        <v>1</v>
      </c>
      <c r="E15" s="181">
        <f>IFERROR(((SUMIFS('2_LN_DadosExportados'!AL:AL,'2_LN_DadosExportados'!$V:$V,$C15,'2_LN_DadosExportados'!$A:$A,"X")+R15)/X15)*$D15,"")</f>
        <v>0</v>
      </c>
      <c r="F15" s="181">
        <f>IFERROR(((SUMIFS('2_LN_DadosExportados'!AM:AM,'2_LN_DadosExportados'!$V:$V,$C15,'2_LN_DadosExportados'!$A:$A,"X")+S15)/Y15)*$D15,"")</f>
        <v>0</v>
      </c>
      <c r="G15" s="181">
        <f>IFERROR(((SUMIFS('2_LN_DadosExportados'!AN:AN,'2_LN_DadosExportados'!$V:$V,$C15,'2_LN_DadosExportados'!$A:$A,"X")+T15)/Z15)*$D15,"")</f>
        <v>0</v>
      </c>
      <c r="H15" s="181">
        <f>IFERROR(((SUMIFS('2_LN_DadosExportados'!AO:AO,'2_LN_DadosExportados'!$V:$V,$C15,'2_LN_DadosExportados'!$A:$A,"X")+U15)/AA15)*$D15,"")</f>
        <v>0</v>
      </c>
      <c r="I15" s="181">
        <f>IFERROR(((SUMIFS('2_LN_DadosExportados'!AP:AP,'2_LN_DadosExportados'!$V:$V,$C15,'2_LN_DadosExportados'!$A:$A,"X")+V15)/AB15)*$D15,"")</f>
        <v>0</v>
      </c>
      <c r="J15" s="181">
        <f>IFERROR(((SUMIFS('2_LN_DadosExportados'!AQ:AQ,'2_LN_DadosExportados'!$V:$V,$C15,'2_LN_DadosExportados'!$A:$A,"X")+W15)/AC15)*$D15,"")</f>
        <v>0</v>
      </c>
      <c r="K15" s="179">
        <f t="shared" si="11"/>
        <v>0</v>
      </c>
      <c r="L15" s="179">
        <f t="shared" si="12"/>
        <v>0</v>
      </c>
      <c r="M15" s="179">
        <f t="shared" si="13"/>
        <v>0</v>
      </c>
      <c r="N15" s="179">
        <f t="shared" si="14"/>
        <v>0</v>
      </c>
      <c r="O15" s="179">
        <f t="shared" si="15"/>
        <v>0</v>
      </c>
      <c r="P15" s="179">
        <f t="shared" si="16"/>
        <v>0</v>
      </c>
      <c r="Q15" s="162">
        <v>90</v>
      </c>
      <c r="R15" s="163">
        <v>0</v>
      </c>
      <c r="S15" s="163">
        <v>0</v>
      </c>
      <c r="T15" s="163">
        <v>0</v>
      </c>
      <c r="U15" s="163">
        <v>0</v>
      </c>
      <c r="V15" s="163">
        <v>0</v>
      </c>
      <c r="W15" s="163">
        <v>0</v>
      </c>
      <c r="X15" s="164">
        <f t="shared" si="17"/>
        <v>4348.8</v>
      </c>
      <c r="Y15" s="164">
        <f t="shared" si="18"/>
        <v>4095</v>
      </c>
      <c r="Z15" s="164">
        <f t="shared" si="19"/>
        <v>4336.1099999999997</v>
      </c>
      <c r="AA15" s="164">
        <f t="shared" si="20"/>
        <v>4329.2700000000004</v>
      </c>
      <c r="AB15" s="164">
        <f t="shared" si="21"/>
        <v>4328.6400000000003</v>
      </c>
      <c r="AC15" s="164">
        <f t="shared" si="22"/>
        <v>4367.25</v>
      </c>
      <c r="AD15" s="165">
        <v>4832</v>
      </c>
      <c r="AE15" s="165">
        <v>4550</v>
      </c>
      <c r="AF15" s="165">
        <v>4817.8999999999996</v>
      </c>
      <c r="AG15" s="165">
        <v>4810.3</v>
      </c>
      <c r="AH15" s="165">
        <v>4809.6000000000004</v>
      </c>
      <c r="AI15" s="165">
        <v>4852.5</v>
      </c>
      <c r="AJ15" s="166">
        <v>0</v>
      </c>
      <c r="AK15" s="166">
        <v>0</v>
      </c>
      <c r="AL15" s="166">
        <v>0</v>
      </c>
      <c r="AM15" s="166">
        <v>0</v>
      </c>
      <c r="AN15" s="166">
        <v>0</v>
      </c>
      <c r="AO15" s="166">
        <v>0</v>
      </c>
      <c r="AP15" s="2" t="str">
        <f>IFERROR(VLOOKUP(C15,'2_LN_DadosExportados'!V:V,1,FALSE),"")</f>
        <v/>
      </c>
      <c r="AQ15" t="str" cm="1">
        <f t="array" ref="AQ15">IF(AND(ISERR(FIND("sim",INDEX('existencia de wc'!K$2:K$193,MATCH('3_Industrial_Plan_Idash'!C15,'existencia de wc'!B$2:B$192,0))))=FALSE,SUMPRODUCT(('2_LN_DadosExportados'!V$2:V$314='3_Industrial_Plan_Idash'!C15)*('2_LN_DadosExportados'!A$2:A$314="X"))&gt;0), "MOSTRAR","")</f>
        <v/>
      </c>
    </row>
    <row r="16" spans="1:43" ht="15.75" hidden="1" thickBot="1" x14ac:dyDescent="0.3">
      <c r="A16" s="153" t="str">
        <f t="shared" si="10"/>
        <v>OK</v>
      </c>
      <c r="B16" s="161" t="s">
        <v>718</v>
      </c>
      <c r="C16" s="161" t="s">
        <v>719</v>
      </c>
      <c r="D16" s="186">
        <v>1</v>
      </c>
      <c r="E16" s="181">
        <f>IFERROR(((SUMIFS('2_LN_DadosExportados'!AL:AL,'2_LN_DadosExportados'!$V:$V,$C16,'2_LN_DadosExportados'!$A:$A,"X")+R16)/X16)*$D16,"")</f>
        <v>0</v>
      </c>
      <c r="F16" s="181">
        <f>IFERROR(((SUMIFS('2_LN_DadosExportados'!AM:AM,'2_LN_DadosExportados'!$V:$V,$C16,'2_LN_DadosExportados'!$A:$A,"X")+S16)/Y16)*$D16,"")</f>
        <v>0</v>
      </c>
      <c r="G16" s="181">
        <f>IFERROR(((SUMIFS('2_LN_DadosExportados'!AN:AN,'2_LN_DadosExportados'!$V:$V,$C16,'2_LN_DadosExportados'!$A:$A,"X")+T16)/Z16)*$D16,"")</f>
        <v>0</v>
      </c>
      <c r="H16" s="181">
        <f>IFERROR(((SUMIFS('2_LN_DadosExportados'!AO:AO,'2_LN_DadosExportados'!$V:$V,$C16,'2_LN_DadosExportados'!$A:$A,"X")+U16)/AA16)*$D16,"")</f>
        <v>0</v>
      </c>
      <c r="I16" s="181">
        <f>IFERROR(((SUMIFS('2_LN_DadosExportados'!AP:AP,'2_LN_DadosExportados'!$V:$V,$C16,'2_LN_DadosExportados'!$A:$A,"X")+V16)/AB16)*$D16,"")</f>
        <v>0</v>
      </c>
      <c r="J16" s="181">
        <f>IFERROR(((SUMIFS('2_LN_DadosExportados'!AQ:AQ,'2_LN_DadosExportados'!$V:$V,$C16,'2_LN_DadosExportados'!$A:$A,"X")+W16)/AC16)*$D16,"")</f>
        <v>0</v>
      </c>
      <c r="K16" s="179">
        <f t="shared" si="11"/>
        <v>0</v>
      </c>
      <c r="L16" s="179">
        <f t="shared" si="12"/>
        <v>0</v>
      </c>
      <c r="M16" s="179">
        <f t="shared" si="13"/>
        <v>0</v>
      </c>
      <c r="N16" s="179">
        <f t="shared" si="14"/>
        <v>0</v>
      </c>
      <c r="O16" s="179">
        <f t="shared" si="15"/>
        <v>0</v>
      </c>
      <c r="P16" s="179">
        <f t="shared" si="16"/>
        <v>0</v>
      </c>
      <c r="Q16" s="162">
        <v>90</v>
      </c>
      <c r="R16" s="163">
        <v>0</v>
      </c>
      <c r="S16" s="163">
        <v>0</v>
      </c>
      <c r="T16" s="163">
        <v>0</v>
      </c>
      <c r="U16" s="163">
        <v>0</v>
      </c>
      <c r="V16" s="163">
        <v>0</v>
      </c>
      <c r="W16" s="163">
        <v>0</v>
      </c>
      <c r="X16" s="164">
        <f t="shared" si="17"/>
        <v>4348.8</v>
      </c>
      <c r="Y16" s="164">
        <f t="shared" si="18"/>
        <v>4095</v>
      </c>
      <c r="Z16" s="164">
        <f t="shared" si="19"/>
        <v>4336.1099999999997</v>
      </c>
      <c r="AA16" s="164">
        <f t="shared" si="20"/>
        <v>4329.2700000000004</v>
      </c>
      <c r="AB16" s="164">
        <f t="shared" si="21"/>
        <v>4328.6400000000003</v>
      </c>
      <c r="AC16" s="164">
        <f t="shared" si="22"/>
        <v>4367.25</v>
      </c>
      <c r="AD16" s="165">
        <v>4832</v>
      </c>
      <c r="AE16" s="165">
        <v>4550</v>
      </c>
      <c r="AF16" s="165">
        <v>4817.8999999999996</v>
      </c>
      <c r="AG16" s="165">
        <v>4810.3</v>
      </c>
      <c r="AH16" s="165">
        <v>4809.6000000000004</v>
      </c>
      <c r="AI16" s="165">
        <v>4852.5</v>
      </c>
      <c r="AJ16" s="166">
        <v>0</v>
      </c>
      <c r="AK16" s="166">
        <v>0</v>
      </c>
      <c r="AL16" s="166">
        <v>0</v>
      </c>
      <c r="AM16" s="166">
        <v>0</v>
      </c>
      <c r="AN16" s="166">
        <v>0</v>
      </c>
      <c r="AO16" s="166">
        <v>0</v>
      </c>
      <c r="AP16" s="2" t="str">
        <f>IFERROR(VLOOKUP(C16,'2_LN_DadosExportados'!V:V,1,FALSE),"")</f>
        <v/>
      </c>
      <c r="AQ16" t="str" cm="1">
        <f t="array" ref="AQ16">IF(AND(ISERR(FIND("sim",INDEX('existencia de wc'!K$2:K$193,MATCH('3_Industrial_Plan_Idash'!C16,'existencia de wc'!B$2:B$192,0))))=FALSE,SUMPRODUCT(('2_LN_DadosExportados'!V$2:V$314='3_Industrial_Plan_Idash'!C16)*('2_LN_DadosExportados'!A$2:A$314="X"))&gt;0), "MOSTRAR","")</f>
        <v/>
      </c>
    </row>
    <row r="17" spans="1:43" ht="15.75" hidden="1" thickBot="1" x14ac:dyDescent="0.3">
      <c r="A17" s="153" t="str">
        <f t="shared" si="10"/>
        <v>OK</v>
      </c>
      <c r="B17" s="161" t="s">
        <v>720</v>
      </c>
      <c r="C17" s="161" t="s">
        <v>721</v>
      </c>
      <c r="D17" s="186">
        <v>1</v>
      </c>
      <c r="E17" s="181">
        <f>IFERROR(((SUMIFS('2_LN_DadosExportados'!AL:AL,'2_LN_DadosExportados'!$V:$V,$C17,'2_LN_DadosExportados'!$A:$A,"X")+R17)/X17)*$D17,"")</f>
        <v>0</v>
      </c>
      <c r="F17" s="181">
        <f>IFERROR(((SUMIFS('2_LN_DadosExportados'!AM:AM,'2_LN_DadosExportados'!$V:$V,$C17,'2_LN_DadosExportados'!$A:$A,"X")+S17)/Y17)*$D17,"")</f>
        <v>0</v>
      </c>
      <c r="G17" s="181">
        <f>IFERROR(((SUMIFS('2_LN_DadosExportados'!AN:AN,'2_LN_DadosExportados'!$V:$V,$C17,'2_LN_DadosExportados'!$A:$A,"X")+T17)/Z17)*$D17,"")</f>
        <v>0</v>
      </c>
      <c r="H17" s="181">
        <f>IFERROR(((SUMIFS('2_LN_DadosExportados'!AO:AO,'2_LN_DadosExportados'!$V:$V,$C17,'2_LN_DadosExportados'!$A:$A,"X")+U17)/AA17)*$D17,"")</f>
        <v>0</v>
      </c>
      <c r="I17" s="181">
        <f>IFERROR(((SUMIFS('2_LN_DadosExportados'!AP:AP,'2_LN_DadosExportados'!$V:$V,$C17,'2_LN_DadosExportados'!$A:$A,"X")+V17)/AB17)*$D17,"")</f>
        <v>0</v>
      </c>
      <c r="J17" s="181">
        <f>IFERROR(((SUMIFS('2_LN_DadosExportados'!AQ:AQ,'2_LN_DadosExportados'!$V:$V,$C17,'2_LN_DadosExportados'!$A:$A,"X")+W17)/AC17)*$D17,"")</f>
        <v>0</v>
      </c>
      <c r="K17" s="179">
        <f t="shared" si="11"/>
        <v>0</v>
      </c>
      <c r="L17" s="179">
        <f t="shared" si="12"/>
        <v>0</v>
      </c>
      <c r="M17" s="179">
        <f t="shared" si="13"/>
        <v>0</v>
      </c>
      <c r="N17" s="179">
        <f t="shared" si="14"/>
        <v>0</v>
      </c>
      <c r="O17" s="179">
        <f t="shared" si="15"/>
        <v>0</v>
      </c>
      <c r="P17" s="179">
        <f t="shared" si="16"/>
        <v>0</v>
      </c>
      <c r="Q17" s="162">
        <v>90</v>
      </c>
      <c r="R17" s="163">
        <v>0</v>
      </c>
      <c r="S17" s="163">
        <v>0</v>
      </c>
      <c r="T17" s="163">
        <v>0</v>
      </c>
      <c r="U17" s="163">
        <v>0</v>
      </c>
      <c r="V17" s="163">
        <v>0</v>
      </c>
      <c r="W17" s="163">
        <v>0</v>
      </c>
      <c r="X17" s="164">
        <f t="shared" si="17"/>
        <v>4348.8</v>
      </c>
      <c r="Y17" s="164">
        <f t="shared" si="18"/>
        <v>4095</v>
      </c>
      <c r="Z17" s="164">
        <f t="shared" si="19"/>
        <v>4336.1099999999997</v>
      </c>
      <c r="AA17" s="164">
        <f t="shared" si="20"/>
        <v>4329.2700000000004</v>
      </c>
      <c r="AB17" s="164">
        <f t="shared" si="21"/>
        <v>4328.6400000000003</v>
      </c>
      <c r="AC17" s="164">
        <f t="shared" si="22"/>
        <v>4367.25</v>
      </c>
      <c r="AD17" s="165">
        <v>4832</v>
      </c>
      <c r="AE17" s="165">
        <v>4550</v>
      </c>
      <c r="AF17" s="165">
        <v>4817.8999999999996</v>
      </c>
      <c r="AG17" s="165">
        <v>4810.3</v>
      </c>
      <c r="AH17" s="165">
        <v>4809.6000000000004</v>
      </c>
      <c r="AI17" s="165">
        <v>4852.5</v>
      </c>
      <c r="AJ17" s="166">
        <v>0</v>
      </c>
      <c r="AK17" s="166">
        <v>0</v>
      </c>
      <c r="AL17" s="166">
        <v>0</v>
      </c>
      <c r="AM17" s="166">
        <v>0</v>
      </c>
      <c r="AN17" s="166">
        <v>0</v>
      </c>
      <c r="AO17" s="166">
        <v>0</v>
      </c>
      <c r="AP17" s="2" t="str">
        <f>IFERROR(VLOOKUP(C17,'2_LN_DadosExportados'!V:V,1,FALSE),"")</f>
        <v/>
      </c>
      <c r="AQ17" t="str" cm="1">
        <f t="array" ref="AQ17">IF(AND(ISERR(FIND("sim",INDEX('existencia de wc'!K$2:K$193,MATCH('3_Industrial_Plan_Idash'!C17,'existencia de wc'!B$2:B$192,0))))=FALSE,SUMPRODUCT(('2_LN_DadosExportados'!V$2:V$314='3_Industrial_Plan_Idash'!C17)*('2_LN_DadosExportados'!A$2:A$314="X"))&gt;0), "MOSTRAR","")</f>
        <v/>
      </c>
    </row>
    <row r="18" spans="1:43" ht="15.75" hidden="1" thickBot="1" x14ac:dyDescent="0.3">
      <c r="A18" s="153" t="str">
        <f t="shared" si="10"/>
        <v>INVEST</v>
      </c>
      <c r="B18" s="161" t="s">
        <v>722</v>
      </c>
      <c r="C18" s="161" t="s">
        <v>723</v>
      </c>
      <c r="D18" s="186">
        <v>0</v>
      </c>
      <c r="E18" s="181" t="str">
        <f>IFERROR(((SUMIFS('2_LN_DadosExportados'!AL:AL,'2_LN_DadosExportados'!$V:$V,$C18,'2_LN_DadosExportados'!$A:$A,"X")+R18)/X18)*$D18,"")</f>
        <v/>
      </c>
      <c r="F18" s="181" t="str">
        <f>IFERROR(((SUMIFS('2_LN_DadosExportados'!AM:AM,'2_LN_DadosExportados'!$V:$V,$C18,'2_LN_DadosExportados'!$A:$A,"X")+S18)/Y18)*$D18,"")</f>
        <v/>
      </c>
      <c r="G18" s="181" t="str">
        <f>IFERROR(((SUMIFS('2_LN_DadosExportados'!AN:AN,'2_LN_DadosExportados'!$V:$V,$C18,'2_LN_DadosExportados'!$A:$A,"X")+T18)/Z18)*$D18,"")</f>
        <v/>
      </c>
      <c r="H18" s="181" t="str">
        <f>IFERROR(((SUMIFS('2_LN_DadosExportados'!AO:AO,'2_LN_DadosExportados'!$V:$V,$C18,'2_LN_DadosExportados'!$A:$A,"X")+U18)/AA18)*$D18,"")</f>
        <v/>
      </c>
      <c r="I18" s="181" t="str">
        <f>IFERROR(((SUMIFS('2_LN_DadosExportados'!AP:AP,'2_LN_DadosExportados'!$V:$V,$C18,'2_LN_DadosExportados'!$A:$A,"X")+V18)/AB18)*$D18,"")</f>
        <v/>
      </c>
      <c r="J18" s="181" t="str">
        <f>IFERROR(((SUMIFS('2_LN_DadosExportados'!AQ:AQ,'2_LN_DadosExportados'!$V:$V,$C18,'2_LN_DadosExportados'!$A:$A,"X")+W18)/AC18)*$D18,"")</f>
        <v/>
      </c>
      <c r="K18" s="179" t="str">
        <f t="shared" si="11"/>
        <v/>
      </c>
      <c r="L18" s="179" t="str">
        <f t="shared" si="12"/>
        <v/>
      </c>
      <c r="M18" s="179" t="str">
        <f t="shared" si="13"/>
        <v/>
      </c>
      <c r="N18" s="179" t="str">
        <f t="shared" si="14"/>
        <v/>
      </c>
      <c r="O18" s="179" t="str">
        <f t="shared" si="15"/>
        <v/>
      </c>
      <c r="P18" s="179" t="str">
        <f t="shared" si="16"/>
        <v/>
      </c>
      <c r="Q18" s="162">
        <v>0</v>
      </c>
      <c r="R18" s="163">
        <v>0</v>
      </c>
      <c r="S18" s="163">
        <v>0</v>
      </c>
      <c r="T18" s="163">
        <v>0</v>
      </c>
      <c r="U18" s="163">
        <v>0</v>
      </c>
      <c r="V18" s="163">
        <v>0</v>
      </c>
      <c r="W18" s="163">
        <v>0</v>
      </c>
      <c r="X18" s="164">
        <f t="shared" si="17"/>
        <v>0</v>
      </c>
      <c r="Y18" s="164">
        <f t="shared" si="18"/>
        <v>0</v>
      </c>
      <c r="Z18" s="164">
        <f t="shared" si="19"/>
        <v>0</v>
      </c>
      <c r="AA18" s="164">
        <f t="shared" si="20"/>
        <v>0</v>
      </c>
      <c r="AB18" s="164">
        <f t="shared" si="21"/>
        <v>0</v>
      </c>
      <c r="AC18" s="164">
        <f t="shared" si="22"/>
        <v>0</v>
      </c>
      <c r="AD18" s="165">
        <v>0</v>
      </c>
      <c r="AE18" s="165">
        <v>0</v>
      </c>
      <c r="AF18" s="165">
        <v>0</v>
      </c>
      <c r="AG18" s="165">
        <v>0</v>
      </c>
      <c r="AH18" s="165">
        <v>0</v>
      </c>
      <c r="AI18" s="165">
        <v>0</v>
      </c>
      <c r="AJ18" s="166">
        <v>0</v>
      </c>
      <c r="AK18" s="166">
        <v>0</v>
      </c>
      <c r="AL18" s="166">
        <v>0</v>
      </c>
      <c r="AM18" s="166">
        <v>0</v>
      </c>
      <c r="AN18" s="166">
        <v>0</v>
      </c>
      <c r="AO18" s="166">
        <v>0</v>
      </c>
      <c r="AP18" s="2" t="str">
        <f>IFERROR(VLOOKUP(C18,'2_LN_DadosExportados'!V:V,1,FALSE),"")</f>
        <v/>
      </c>
      <c r="AQ18" t="str" cm="1">
        <f t="array" ref="AQ18">IF(AND(ISERR(FIND("sim",INDEX('existencia de wc'!K$2:K$193,MATCH('3_Industrial_Plan_Idash'!C18,'existencia de wc'!B$2:B$192,0))))=FALSE,SUMPRODUCT(('2_LN_DadosExportados'!V$2:V$314='3_Industrial_Plan_Idash'!C18)*('2_LN_DadosExportados'!A$2:A$314="X"))&gt;0), "MOSTRAR","")</f>
        <v/>
      </c>
    </row>
    <row r="19" spans="1:43" ht="15.75" hidden="1" thickBot="1" x14ac:dyDescent="0.3">
      <c r="A19" s="153" t="str">
        <f t="shared" si="10"/>
        <v>OK</v>
      </c>
      <c r="B19" s="161" t="s">
        <v>724</v>
      </c>
      <c r="C19" s="161" t="s">
        <v>725</v>
      </c>
      <c r="D19" s="186">
        <v>1</v>
      </c>
      <c r="E19" s="181">
        <f>IFERROR(((SUMIFS('2_LN_DadosExportados'!AL:AL,'2_LN_DadosExportados'!$V:$V,$C19,'2_LN_DadosExportados'!$A:$A,"X")+R19)/X19)*$D19,"")</f>
        <v>0</v>
      </c>
      <c r="F19" s="181">
        <f>IFERROR(((SUMIFS('2_LN_DadosExportados'!AM:AM,'2_LN_DadosExportados'!$V:$V,$C19,'2_LN_DadosExportados'!$A:$A,"X")+S19)/Y19)*$D19,"")</f>
        <v>0</v>
      </c>
      <c r="G19" s="181">
        <f>IFERROR(((SUMIFS('2_LN_DadosExportados'!AN:AN,'2_LN_DadosExportados'!$V:$V,$C19,'2_LN_DadosExportados'!$A:$A,"X")+T19)/Z19)*$D19,"")</f>
        <v>0</v>
      </c>
      <c r="H19" s="181">
        <f>IFERROR(((SUMIFS('2_LN_DadosExportados'!AO:AO,'2_LN_DadosExportados'!$V:$V,$C19,'2_LN_DadosExportados'!$A:$A,"X")+U19)/AA19)*$D19,"")</f>
        <v>0</v>
      </c>
      <c r="I19" s="181">
        <f>IFERROR(((SUMIFS('2_LN_DadosExportados'!AP:AP,'2_LN_DadosExportados'!$V:$V,$C19,'2_LN_DadosExportados'!$A:$A,"X")+V19)/AB19)*$D19,"")</f>
        <v>0</v>
      </c>
      <c r="J19" s="181">
        <f>IFERROR(((SUMIFS('2_LN_DadosExportados'!AQ:AQ,'2_LN_DadosExportados'!$V:$V,$C19,'2_LN_DadosExportados'!$A:$A,"X")+W19)/AC19)*$D19,"")</f>
        <v>0</v>
      </c>
      <c r="K19" s="179">
        <f t="shared" si="11"/>
        <v>0</v>
      </c>
      <c r="L19" s="179">
        <f t="shared" si="12"/>
        <v>0</v>
      </c>
      <c r="M19" s="179">
        <f t="shared" si="13"/>
        <v>0</v>
      </c>
      <c r="N19" s="179">
        <f t="shared" si="14"/>
        <v>0</v>
      </c>
      <c r="O19" s="179">
        <f t="shared" si="15"/>
        <v>0</v>
      </c>
      <c r="P19" s="179">
        <f t="shared" si="16"/>
        <v>0</v>
      </c>
      <c r="Q19" s="162">
        <v>90</v>
      </c>
      <c r="R19" s="163">
        <v>0</v>
      </c>
      <c r="S19" s="163">
        <v>0</v>
      </c>
      <c r="T19" s="163">
        <v>0</v>
      </c>
      <c r="U19" s="163">
        <v>0</v>
      </c>
      <c r="V19" s="163">
        <v>0</v>
      </c>
      <c r="W19" s="163">
        <v>0</v>
      </c>
      <c r="X19" s="164">
        <f t="shared" si="17"/>
        <v>4348.8</v>
      </c>
      <c r="Y19" s="164">
        <f t="shared" si="18"/>
        <v>4095</v>
      </c>
      <c r="Z19" s="164">
        <f t="shared" si="19"/>
        <v>4336.1099999999997</v>
      </c>
      <c r="AA19" s="164">
        <f t="shared" si="20"/>
        <v>4329.2700000000004</v>
      </c>
      <c r="AB19" s="164">
        <f t="shared" si="21"/>
        <v>4328.6400000000003</v>
      </c>
      <c r="AC19" s="164">
        <f t="shared" si="22"/>
        <v>4367.25</v>
      </c>
      <c r="AD19" s="165">
        <v>4832</v>
      </c>
      <c r="AE19" s="165">
        <v>4550</v>
      </c>
      <c r="AF19" s="165">
        <v>4817.8999999999996</v>
      </c>
      <c r="AG19" s="165">
        <v>4810.3</v>
      </c>
      <c r="AH19" s="165">
        <v>4809.6000000000004</v>
      </c>
      <c r="AI19" s="165">
        <v>4852.5</v>
      </c>
      <c r="AJ19" s="166">
        <v>0</v>
      </c>
      <c r="AK19" s="166">
        <v>0</v>
      </c>
      <c r="AL19" s="166">
        <v>0</v>
      </c>
      <c r="AM19" s="166">
        <v>0</v>
      </c>
      <c r="AN19" s="166">
        <v>0</v>
      </c>
      <c r="AO19" s="166">
        <v>0</v>
      </c>
      <c r="AP19" s="2" t="str">
        <f>IFERROR(VLOOKUP(C19,'2_LN_DadosExportados'!V:V,1,FALSE),"")</f>
        <v/>
      </c>
      <c r="AQ19" t="str" cm="1">
        <f t="array" ref="AQ19">IF(AND(ISERR(FIND("sim",INDEX('existencia de wc'!K$2:K$193,MATCH('3_Industrial_Plan_Idash'!C19,'existencia de wc'!B$2:B$192,0))))=FALSE,SUMPRODUCT(('2_LN_DadosExportados'!V$2:V$314='3_Industrial_Plan_Idash'!C19)*('2_LN_DadosExportados'!A$2:A$314="X"))&gt;0), "MOSTRAR","")</f>
        <v/>
      </c>
    </row>
    <row r="20" spans="1:43" ht="15.75" hidden="1" thickBot="1" x14ac:dyDescent="0.3">
      <c r="A20" s="153" t="str">
        <f t="shared" si="10"/>
        <v>OK</v>
      </c>
      <c r="B20" s="161" t="s">
        <v>726</v>
      </c>
      <c r="C20" s="161" t="s">
        <v>727</v>
      </c>
      <c r="D20" s="186">
        <v>1</v>
      </c>
      <c r="E20" s="181">
        <f>IFERROR(((SUMIFS('2_LN_DadosExportados'!AL:AL,'2_LN_DadosExportados'!$V:$V,$C20,'2_LN_DadosExportados'!$A:$A,"X")+R20)/X20)*$D20,"")</f>
        <v>0</v>
      </c>
      <c r="F20" s="181">
        <f>IFERROR(((SUMIFS('2_LN_DadosExportados'!AM:AM,'2_LN_DadosExportados'!$V:$V,$C20,'2_LN_DadosExportados'!$A:$A,"X")+S20)/Y20)*$D20,"")</f>
        <v>0</v>
      </c>
      <c r="G20" s="181">
        <f>IFERROR(((SUMIFS('2_LN_DadosExportados'!AN:AN,'2_LN_DadosExportados'!$V:$V,$C20,'2_LN_DadosExportados'!$A:$A,"X")+T20)/Z20)*$D20,"")</f>
        <v>0</v>
      </c>
      <c r="H20" s="181">
        <f>IFERROR(((SUMIFS('2_LN_DadosExportados'!AO:AO,'2_LN_DadosExportados'!$V:$V,$C20,'2_LN_DadosExportados'!$A:$A,"X")+U20)/AA20)*$D20,"")</f>
        <v>0</v>
      </c>
      <c r="I20" s="181">
        <f>IFERROR(((SUMIFS('2_LN_DadosExportados'!AP:AP,'2_LN_DadosExportados'!$V:$V,$C20,'2_LN_DadosExportados'!$A:$A,"X")+V20)/AB20)*$D20,"")</f>
        <v>0</v>
      </c>
      <c r="J20" s="181">
        <f>IFERROR(((SUMIFS('2_LN_DadosExportados'!AQ:AQ,'2_LN_DadosExportados'!$V:$V,$C20,'2_LN_DadosExportados'!$A:$A,"X")+W20)/AC20)*$D20,"")</f>
        <v>0</v>
      </c>
      <c r="K20" s="179">
        <f t="shared" si="11"/>
        <v>0</v>
      </c>
      <c r="L20" s="179">
        <f t="shared" si="12"/>
        <v>0</v>
      </c>
      <c r="M20" s="179">
        <f t="shared" si="13"/>
        <v>0</v>
      </c>
      <c r="N20" s="179">
        <f t="shared" si="14"/>
        <v>0</v>
      </c>
      <c r="O20" s="179">
        <f t="shared" si="15"/>
        <v>0</v>
      </c>
      <c r="P20" s="179">
        <f t="shared" si="16"/>
        <v>0</v>
      </c>
      <c r="Q20" s="162">
        <v>90</v>
      </c>
      <c r="R20" s="163">
        <v>0</v>
      </c>
      <c r="S20" s="163">
        <v>0</v>
      </c>
      <c r="T20" s="163">
        <v>0</v>
      </c>
      <c r="U20" s="163">
        <v>0</v>
      </c>
      <c r="V20" s="163">
        <v>0</v>
      </c>
      <c r="W20" s="163">
        <v>0</v>
      </c>
      <c r="X20" s="164">
        <f t="shared" si="17"/>
        <v>4348.8</v>
      </c>
      <c r="Y20" s="164">
        <f t="shared" si="18"/>
        <v>4095</v>
      </c>
      <c r="Z20" s="164">
        <f t="shared" si="19"/>
        <v>4336.1099999999997</v>
      </c>
      <c r="AA20" s="164">
        <f t="shared" si="20"/>
        <v>4329.2700000000004</v>
      </c>
      <c r="AB20" s="164">
        <f t="shared" si="21"/>
        <v>4328.6400000000003</v>
      </c>
      <c r="AC20" s="164">
        <f t="shared" si="22"/>
        <v>4367.25</v>
      </c>
      <c r="AD20" s="165">
        <v>4832</v>
      </c>
      <c r="AE20" s="165">
        <v>4550</v>
      </c>
      <c r="AF20" s="165">
        <v>4817.8999999999996</v>
      </c>
      <c r="AG20" s="165">
        <v>4810.3</v>
      </c>
      <c r="AH20" s="165">
        <v>4809.6000000000004</v>
      </c>
      <c r="AI20" s="165">
        <v>4852.5</v>
      </c>
      <c r="AJ20" s="166">
        <v>0</v>
      </c>
      <c r="AK20" s="166">
        <v>0</v>
      </c>
      <c r="AL20" s="166">
        <v>0</v>
      </c>
      <c r="AM20" s="166">
        <v>0</v>
      </c>
      <c r="AN20" s="166">
        <v>0</v>
      </c>
      <c r="AO20" s="166">
        <v>0</v>
      </c>
      <c r="AP20" s="2" t="str">
        <f>IFERROR(VLOOKUP(C20,'2_LN_DadosExportados'!V:V,1,FALSE),"")</f>
        <v/>
      </c>
      <c r="AQ20" t="str" cm="1">
        <f t="array" ref="AQ20">IF(AND(ISERR(FIND("sim",INDEX('existencia de wc'!K$2:K$193,MATCH('3_Industrial_Plan_Idash'!C20,'existencia de wc'!B$2:B$192,0))))=FALSE,SUMPRODUCT(('2_LN_DadosExportados'!V$2:V$314='3_Industrial_Plan_Idash'!C20)*('2_LN_DadosExportados'!A$2:A$314="X"))&gt;0), "MOSTRAR","")</f>
        <v/>
      </c>
    </row>
    <row r="21" spans="1:43" ht="15.75" hidden="1" thickBot="1" x14ac:dyDescent="0.3">
      <c r="A21" s="153" t="str">
        <f t="shared" si="10"/>
        <v>OK</v>
      </c>
      <c r="B21" s="161" t="s">
        <v>728</v>
      </c>
      <c r="C21" s="161" t="s">
        <v>729</v>
      </c>
      <c r="D21" s="186">
        <v>1</v>
      </c>
      <c r="E21" s="181">
        <f>IFERROR(((SUMIFS('2_LN_DadosExportados'!AL:AL,'2_LN_DadosExportados'!$V:$V,$C21,'2_LN_DadosExportados'!$A:$A,"X")+R21)/X21)*$D21,"")</f>
        <v>0.70634557810563903</v>
      </c>
      <c r="F21" s="181">
        <f>IFERROR(((SUMIFS('2_LN_DadosExportados'!AM:AM,'2_LN_DadosExportados'!$V:$V,$C21,'2_LN_DadosExportados'!$A:$A,"X")+S21)/Y21)*$D21,"")</f>
        <v>0.20559062218214605</v>
      </c>
      <c r="G21" s="181">
        <f>IFERROR(((SUMIFS('2_LN_DadosExportados'!AN:AN,'2_LN_DadosExportados'!$V:$V,$C21,'2_LN_DadosExportados'!$A:$A,"X")+T21)/Z21)*$D21,"")</f>
        <v>0.15969948200919329</v>
      </c>
      <c r="H21" s="181">
        <f>IFERROR(((SUMIFS('2_LN_DadosExportados'!AO:AO,'2_LN_DadosExportados'!$V:$V,$C21,'2_LN_DadosExportados'!$A:$A,"X")+U21)/AA21)*$D21,"")</f>
        <v>0.13460837508402107</v>
      </c>
      <c r="I21" s="181">
        <f>IFERROR(((SUMIFS('2_LN_DadosExportados'!AP:AP,'2_LN_DadosExportados'!$V:$V,$C21,'2_LN_DadosExportados'!$A:$A,"X")+V21)/AB21)*$D21,"")</f>
        <v>0.11095020484249037</v>
      </c>
      <c r="J21" s="181">
        <f>IFERROR(((SUMIFS('2_LN_DadosExportados'!AQ:AQ,'2_LN_DadosExportados'!$V:$V,$C21,'2_LN_DadosExportados'!$A:$A,"X")+W21)/AC21)*$D21,"")</f>
        <v>9.746304875358483E-2</v>
      </c>
      <c r="K21" s="179">
        <f>IFERROR(R21/X21*$D21,"")</f>
        <v>0.70634557810563903</v>
      </c>
      <c r="L21" s="179">
        <f t="shared" si="12"/>
        <v>0.20559062218214605</v>
      </c>
      <c r="M21" s="179">
        <f t="shared" si="13"/>
        <v>0.15969948200919329</v>
      </c>
      <c r="N21" s="179">
        <f t="shared" si="14"/>
        <v>0.13460837508402107</v>
      </c>
      <c r="O21" s="179">
        <f t="shared" si="15"/>
        <v>0.11095020484249037</v>
      </c>
      <c r="P21" s="179">
        <f t="shared" si="16"/>
        <v>9.746304875358483E-2</v>
      </c>
      <c r="Q21" s="162">
        <v>75</v>
      </c>
      <c r="R21" s="163">
        <v>2294.44</v>
      </c>
      <c r="S21" s="163">
        <v>666.9</v>
      </c>
      <c r="T21" s="163">
        <v>574.99</v>
      </c>
      <c r="U21" s="163">
        <v>485.63</v>
      </c>
      <c r="V21" s="163">
        <v>398.78</v>
      </c>
      <c r="W21" s="163">
        <v>353.44</v>
      </c>
      <c r="X21" s="164">
        <f t="shared" si="17"/>
        <v>3248.3250000000003</v>
      </c>
      <c r="Y21" s="164">
        <f t="shared" si="18"/>
        <v>3243.8250000000003</v>
      </c>
      <c r="Z21" s="164">
        <f>AF21*($Q21/100)</f>
        <v>3600.4500000000003</v>
      </c>
      <c r="AA21" s="164">
        <f t="shared" si="20"/>
        <v>3607.7250000000004</v>
      </c>
      <c r="AB21" s="164">
        <f t="shared" si="21"/>
        <v>3594.2250000000004</v>
      </c>
      <c r="AC21" s="164">
        <f t="shared" si="22"/>
        <v>3626.3999999999996</v>
      </c>
      <c r="AD21" s="165">
        <v>4331.1000000000004</v>
      </c>
      <c r="AE21" s="165">
        <v>4325.1000000000004</v>
      </c>
      <c r="AF21" s="165">
        <v>4800.6000000000004</v>
      </c>
      <c r="AG21" s="165">
        <v>4810.3</v>
      </c>
      <c r="AH21" s="165">
        <v>4792.3</v>
      </c>
      <c r="AI21" s="165">
        <v>4835.2</v>
      </c>
      <c r="AJ21" s="166">
        <v>3166037</v>
      </c>
      <c r="AK21" s="166">
        <v>1002215</v>
      </c>
      <c r="AL21" s="166">
        <v>894795</v>
      </c>
      <c r="AM21" s="166">
        <v>787376</v>
      </c>
      <c r="AN21" s="166">
        <v>679956</v>
      </c>
      <c r="AO21" s="166">
        <v>626246</v>
      </c>
      <c r="AP21" s="2" t="str">
        <f>IFERROR(VLOOKUP(C21,'2_LN_DadosExportados'!V:V,1,FALSE),"")</f>
        <v/>
      </c>
      <c r="AQ21" t="str" cm="1">
        <f t="array" ref="AQ21">IF(AND(ISERR(FIND("sim",INDEX('existencia de wc'!K$2:K$193,MATCH('3_Industrial_Plan_Idash'!C21,'existencia de wc'!B$2:B$192,0))))=FALSE,SUMPRODUCT(('2_LN_DadosExportados'!V$2:V$314='3_Industrial_Plan_Idash'!C21)*('2_LN_DadosExportados'!A$2:A$314="X"))&gt;0), "MOSTRAR","")</f>
        <v/>
      </c>
    </row>
    <row r="22" spans="1:43" ht="15.75" hidden="1" thickBot="1" x14ac:dyDescent="0.3">
      <c r="A22" s="153" t="str">
        <f t="shared" si="10"/>
        <v>OK</v>
      </c>
      <c r="B22" s="161" t="s">
        <v>730</v>
      </c>
      <c r="C22" s="161" t="s">
        <v>731</v>
      </c>
      <c r="D22" s="186">
        <v>2</v>
      </c>
      <c r="E22" s="181">
        <f>IFERROR(((SUMIFS('2_LN_DadosExportados'!AL:AL,'2_LN_DadosExportados'!$V:$V,$C22,'2_LN_DadosExportados'!$A:$A,"X")+R22)/X22)*$D22,"")</f>
        <v>1.2221304589525133</v>
      </c>
      <c r="F22" s="181">
        <f>IFERROR(((SUMIFS('2_LN_DadosExportados'!AM:AM,'2_LN_DadosExportados'!$V:$V,$C22,'2_LN_DadosExportados'!$A:$A,"X")+S22)/Y22)*$D22,"")</f>
        <v>1.0178688620805565</v>
      </c>
      <c r="G22" s="181">
        <f>IFERROR(((SUMIFS('2_LN_DadosExportados'!AN:AN,'2_LN_DadosExportados'!$V:$V,$C22,'2_LN_DadosExportados'!$A:$A,"X")+T22)/Z22)*$D22,"")</f>
        <v>0.88638599662221695</v>
      </c>
      <c r="H22" s="181">
        <f>IFERROR(((SUMIFS('2_LN_DadosExportados'!AO:AO,'2_LN_DadosExportados'!$V:$V,$C22,'2_LN_DadosExportados'!$A:$A,"X")+U22)/AA22)*$D22,"")</f>
        <v>0.8545029176174842</v>
      </c>
      <c r="I22" s="181">
        <f>IFERROR(((SUMIFS('2_LN_DadosExportados'!AP:AP,'2_LN_DadosExportados'!$V:$V,$C22,'2_LN_DadosExportados'!$A:$A,"X")+V22)/AB22)*$D22,"")</f>
        <v>0.82803343183536404</v>
      </c>
      <c r="J22" s="181">
        <f>IFERROR(((SUMIFS('2_LN_DadosExportados'!AQ:AQ,'2_LN_DadosExportados'!$V:$V,$C22,'2_LN_DadosExportados'!$A:$A,"X")+W22)/AC22)*$D22,"")</f>
        <v>0.79968372957287581</v>
      </c>
      <c r="K22" s="179">
        <f t="shared" ref="K22:K24" si="23">IFERROR(R22/X22*$D22,"")</f>
        <v>1.2221304589525133</v>
      </c>
      <c r="L22" s="179">
        <f t="shared" ref="L22:L24" si="24">IFERROR(S22/Y22*$D22,"")</f>
        <v>1.0178688620805565</v>
      </c>
      <c r="M22" s="179">
        <f t="shared" ref="M22:M24" si="25">IFERROR(T22/Z22*$D22,"")</f>
        <v>0.88638599662221695</v>
      </c>
      <c r="N22" s="179">
        <f t="shared" ref="N22:N24" si="26">IFERROR(U22/AA22*$D22,"")</f>
        <v>0.8545029176174842</v>
      </c>
      <c r="O22" s="179">
        <f t="shared" ref="O22:O24" si="27">IFERROR(V22/AB22*$D22,"")</f>
        <v>0.82803343183536404</v>
      </c>
      <c r="P22" s="179">
        <f t="shared" ref="P22:P24" si="28">IFERROR(W22/AC22*$D22,"")</f>
        <v>0.79968372957287581</v>
      </c>
      <c r="Q22" s="162">
        <v>65</v>
      </c>
      <c r="R22" s="163">
        <v>3440.56</v>
      </c>
      <c r="S22" s="163">
        <v>2861.55</v>
      </c>
      <c r="T22" s="163">
        <v>2765.87</v>
      </c>
      <c r="U22" s="163">
        <v>2671.77</v>
      </c>
      <c r="V22" s="163">
        <v>2579.3200000000002</v>
      </c>
      <c r="W22" s="163">
        <v>2513.31</v>
      </c>
      <c r="X22" s="164">
        <f t="shared" si="17"/>
        <v>5630.43</v>
      </c>
      <c r="Y22" s="164">
        <f t="shared" si="18"/>
        <v>5622.630000000001</v>
      </c>
      <c r="Z22" s="164">
        <f t="shared" si="19"/>
        <v>6240.7800000000007</v>
      </c>
      <c r="AA22" s="164">
        <f t="shared" si="20"/>
        <v>6253.39</v>
      </c>
      <c r="AB22" s="164">
        <f t="shared" si="21"/>
        <v>6229.9900000000007</v>
      </c>
      <c r="AC22" s="164">
        <f t="shared" si="22"/>
        <v>6285.76</v>
      </c>
      <c r="AD22" s="165">
        <v>8662.2000000000007</v>
      </c>
      <c r="AE22" s="165">
        <v>8650.2000000000007</v>
      </c>
      <c r="AF22" s="165">
        <v>9601.2000000000007</v>
      </c>
      <c r="AG22" s="165">
        <v>9620.6</v>
      </c>
      <c r="AH22" s="165">
        <v>9584.6</v>
      </c>
      <c r="AI22" s="165">
        <v>9670.4</v>
      </c>
      <c r="AJ22" s="166">
        <v>6726489</v>
      </c>
      <c r="AK22" s="166">
        <v>5732559</v>
      </c>
      <c r="AL22" s="166">
        <v>5591486</v>
      </c>
      <c r="AM22" s="166">
        <v>5450413</v>
      </c>
      <c r="AN22" s="166">
        <v>5309340</v>
      </c>
      <c r="AO22" s="166">
        <v>5238803</v>
      </c>
      <c r="AP22" s="2" t="str">
        <f>IFERROR(VLOOKUP(C22,'2_LN_DadosExportados'!V:V,1,FALSE),"")</f>
        <v/>
      </c>
      <c r="AQ22" t="str" cm="1">
        <f t="array" ref="AQ22">IF(AND(ISERR(FIND("sim",INDEX('existencia de wc'!K$2:K$193,MATCH('3_Industrial_Plan_Idash'!C22,'existencia de wc'!B$2:B$192,0))))=FALSE,SUMPRODUCT(('2_LN_DadosExportados'!V$2:V$314='3_Industrial_Plan_Idash'!C22)*('2_LN_DadosExportados'!A$2:A$314="X"))&gt;0), "MOSTRAR","")</f>
        <v/>
      </c>
    </row>
    <row r="23" spans="1:43" ht="15.75" hidden="1" thickBot="1" x14ac:dyDescent="0.3">
      <c r="A23" s="153" t="str">
        <f t="shared" si="10"/>
        <v>INVEST</v>
      </c>
      <c r="B23" s="161" t="s">
        <v>732</v>
      </c>
      <c r="C23" s="161" t="s">
        <v>733</v>
      </c>
      <c r="D23" s="186">
        <v>2</v>
      </c>
      <c r="E23" s="181">
        <f>IFERROR(((SUMIFS('2_LN_DadosExportados'!AL:AL,'2_LN_DadosExportados'!$V:$V,$C23,'2_LN_DadosExportados'!$A:$A,"X")+R23)/X23)*$D23,"")</f>
        <v>1.4033208831297077</v>
      </c>
      <c r="F23" s="181">
        <f>IFERROR(((SUMIFS('2_LN_DadosExportados'!AM:AM,'2_LN_DadosExportados'!$V:$V,$C23,'2_LN_DadosExportados'!$A:$A,"X")+S23)/Y23)*$D23,"")</f>
        <v>1.0868614865285462</v>
      </c>
      <c r="G23" s="181">
        <f>IFERROR(((SUMIFS('2_LN_DadosExportados'!AN:AN,'2_LN_DadosExportados'!$V:$V,$C23,'2_LN_DadosExportados'!$A:$A,"X")+T23)/Z23)*$D23,"")</f>
        <v>1.2473088299859953</v>
      </c>
      <c r="H23" s="181">
        <f>IFERROR(((SUMIFS('2_LN_DadosExportados'!AO:AO,'2_LN_DadosExportados'!$V:$V,$C23,'2_LN_DadosExportados'!$A:$A,"X")+U23)/AA23)*$D23,"")</f>
        <v>1.5035972488522225</v>
      </c>
      <c r="I23" s="181">
        <f>IFERROR(((SUMIFS('2_LN_DadosExportados'!AP:AP,'2_LN_DadosExportados'!$V:$V,$C23,'2_LN_DadosExportados'!$A:$A,"X")+V23)/AB23)*$D23,"")</f>
        <v>1.7602628575647792</v>
      </c>
      <c r="J23" s="181">
        <f>IFERROR(((SUMIFS('2_LN_DadosExportados'!AQ:AQ,'2_LN_DadosExportados'!$V:$V,$C23,'2_LN_DadosExportados'!$A:$A,"X")+W23)/AC23)*$D23,"")</f>
        <v>2.0189316804968693</v>
      </c>
      <c r="K23" s="179">
        <f t="shared" si="23"/>
        <v>1.4033208831297077</v>
      </c>
      <c r="L23" s="179">
        <f t="shared" si="24"/>
        <v>1.0868614865285462</v>
      </c>
      <c r="M23" s="179">
        <f t="shared" si="25"/>
        <v>1.2473088299859953</v>
      </c>
      <c r="N23" s="179">
        <f t="shared" si="26"/>
        <v>1.5035972488522225</v>
      </c>
      <c r="O23" s="179">
        <f t="shared" si="27"/>
        <v>1.7602628575647792</v>
      </c>
      <c r="P23" s="179">
        <f t="shared" si="28"/>
        <v>2.0189316804968693</v>
      </c>
      <c r="Q23" s="162">
        <v>65</v>
      </c>
      <c r="R23" s="163">
        <v>3950.65</v>
      </c>
      <c r="S23" s="163">
        <v>3055.51</v>
      </c>
      <c r="T23" s="163">
        <v>3892.09</v>
      </c>
      <c r="U23" s="163">
        <v>4701.29</v>
      </c>
      <c r="V23" s="163">
        <v>5483.21</v>
      </c>
      <c r="W23" s="163">
        <v>6345.26</v>
      </c>
      <c r="X23" s="164">
        <f t="shared" si="17"/>
        <v>5630.43</v>
      </c>
      <c r="Y23" s="164">
        <f t="shared" si="18"/>
        <v>5622.630000000001</v>
      </c>
      <c r="Z23" s="164">
        <f t="shared" si="19"/>
        <v>6240.7800000000007</v>
      </c>
      <c r="AA23" s="164">
        <f t="shared" si="20"/>
        <v>6253.39</v>
      </c>
      <c r="AB23" s="164">
        <f t="shared" si="21"/>
        <v>6229.9900000000007</v>
      </c>
      <c r="AC23" s="164">
        <f t="shared" si="22"/>
        <v>6285.76</v>
      </c>
      <c r="AD23" s="165">
        <v>8662.2000000000007</v>
      </c>
      <c r="AE23" s="165">
        <v>8650.2000000000007</v>
      </c>
      <c r="AF23" s="165">
        <v>9601.2000000000007</v>
      </c>
      <c r="AG23" s="165">
        <v>9620.6</v>
      </c>
      <c r="AH23" s="165">
        <v>9584.6</v>
      </c>
      <c r="AI23" s="165">
        <v>9670.4</v>
      </c>
      <c r="AJ23" s="166">
        <v>8431160</v>
      </c>
      <c r="AK23" s="166">
        <v>6283382</v>
      </c>
      <c r="AL23" s="166">
        <v>8096737</v>
      </c>
      <c r="AM23" s="166">
        <v>9910094</v>
      </c>
      <c r="AN23" s="166">
        <v>11723449</v>
      </c>
      <c r="AO23" s="166">
        <v>13854442</v>
      </c>
      <c r="AP23" s="2" t="str">
        <f>IFERROR(VLOOKUP(C23,'2_LN_DadosExportados'!V:V,1,FALSE),"")</f>
        <v/>
      </c>
      <c r="AQ23" t="str" cm="1">
        <f t="array" ref="AQ23">IF(AND(ISERR(FIND("sim",INDEX('existencia de wc'!K$2:K$193,MATCH('3_Industrial_Plan_Idash'!C23,'existencia de wc'!B$2:B$192,0))))=FALSE,SUMPRODUCT(('2_LN_DadosExportados'!V$2:V$314='3_Industrial_Plan_Idash'!C23)*('2_LN_DadosExportados'!A$2:A$314="X"))&gt;0), "MOSTRAR","")</f>
        <v/>
      </c>
    </row>
    <row r="24" spans="1:43" ht="15.75" hidden="1" thickBot="1" x14ac:dyDescent="0.3">
      <c r="A24" s="153" t="str">
        <f t="shared" si="10"/>
        <v>OK</v>
      </c>
      <c r="B24" s="161" t="s">
        <v>734</v>
      </c>
      <c r="C24" s="161" t="s">
        <v>735</v>
      </c>
      <c r="D24" s="186">
        <v>1</v>
      </c>
      <c r="E24" s="181">
        <f>IFERROR(((SUMIFS('2_LN_DadosExportados'!AL:AL,'2_LN_DadosExportados'!$V:$V,$C24,'2_LN_DadosExportados'!$A:$A,"X")+R24)/X24)*$D24,"")</f>
        <v>0.50571981180833436</v>
      </c>
      <c r="F24" s="181">
        <f>IFERROR(((SUMIFS('2_LN_DadosExportados'!AM:AM,'2_LN_DadosExportados'!$V:$V,$C24,'2_LN_DadosExportados'!$A:$A,"X")+S24)/Y24)*$D24,"")</f>
        <v>0.37498466020349902</v>
      </c>
      <c r="G24" s="181">
        <f>IFERROR(((SUMIFS('2_LN_DadosExportados'!AN:AN,'2_LN_DadosExportados'!$V:$V,$C24,'2_LN_DadosExportados'!$A:$A,"X")+T24)/Z24)*$D24,"")</f>
        <v>0.33269238781049804</v>
      </c>
      <c r="H24" s="181">
        <f>IFERROR(((SUMIFS('2_LN_DadosExportados'!AO:AO,'2_LN_DadosExportados'!$V:$V,$C24,'2_LN_DadosExportados'!$A:$A,"X")+U24)/AA24)*$D24,"")</f>
        <v>0.32689789058414714</v>
      </c>
      <c r="I24" s="181">
        <f>IFERROR(((SUMIFS('2_LN_DadosExportados'!AP:AP,'2_LN_DadosExportados'!$V:$V,$C24,'2_LN_DadosExportados'!$A:$A,"X")+V24)/AB24)*$D24,"")</f>
        <v>0.32295717970654847</v>
      </c>
      <c r="J24" s="181">
        <f>IFERROR(((SUMIFS('2_LN_DadosExportados'!AQ:AQ,'2_LN_DadosExportados'!$V:$V,$C24,'2_LN_DadosExportados'!$A:$A,"X")+W24)/AC24)*$D24,"")</f>
        <v>0.31498498192740415</v>
      </c>
      <c r="K24" s="179">
        <f t="shared" si="23"/>
        <v>0.50571981180833436</v>
      </c>
      <c r="L24" s="179">
        <f t="shared" si="24"/>
        <v>0.37498466020349902</v>
      </c>
      <c r="M24" s="179">
        <f t="shared" si="25"/>
        <v>0.33269238781049804</v>
      </c>
      <c r="N24" s="179">
        <f t="shared" si="26"/>
        <v>0.32689789058414714</v>
      </c>
      <c r="O24" s="179">
        <f t="shared" si="27"/>
        <v>0.32295717970654847</v>
      </c>
      <c r="P24" s="179">
        <f t="shared" si="28"/>
        <v>0.31498498192740415</v>
      </c>
      <c r="Q24" s="162">
        <v>65</v>
      </c>
      <c r="R24" s="163">
        <v>1423.71</v>
      </c>
      <c r="S24" s="163">
        <v>1054.2</v>
      </c>
      <c r="T24" s="163">
        <v>1038.1300000000001</v>
      </c>
      <c r="U24" s="163">
        <v>1022.11</v>
      </c>
      <c r="V24" s="163">
        <v>1006.01</v>
      </c>
      <c r="W24" s="163">
        <v>989.96</v>
      </c>
      <c r="X24" s="164">
        <f t="shared" si="17"/>
        <v>2815.2150000000001</v>
      </c>
      <c r="Y24" s="164">
        <f t="shared" si="18"/>
        <v>2811.3150000000005</v>
      </c>
      <c r="Z24" s="164">
        <f t="shared" si="19"/>
        <v>3120.3900000000003</v>
      </c>
      <c r="AA24" s="164">
        <f t="shared" si="20"/>
        <v>3126.6950000000002</v>
      </c>
      <c r="AB24" s="164">
        <f t="shared" si="21"/>
        <v>3114.9950000000003</v>
      </c>
      <c r="AC24" s="164">
        <f t="shared" si="22"/>
        <v>3142.88</v>
      </c>
      <c r="AD24" s="165">
        <v>4331.1000000000004</v>
      </c>
      <c r="AE24" s="165">
        <v>4325.1000000000004</v>
      </c>
      <c r="AF24" s="165">
        <v>4800.6000000000004</v>
      </c>
      <c r="AG24" s="165">
        <v>4810.3</v>
      </c>
      <c r="AH24" s="165">
        <v>4792.3</v>
      </c>
      <c r="AI24" s="165">
        <v>4835.2</v>
      </c>
      <c r="AJ24" s="166">
        <v>918453</v>
      </c>
      <c r="AK24" s="166">
        <v>780794</v>
      </c>
      <c r="AL24" s="166">
        <v>780794</v>
      </c>
      <c r="AM24" s="166">
        <v>780794</v>
      </c>
      <c r="AN24" s="166">
        <v>780794</v>
      </c>
      <c r="AO24" s="166">
        <v>780794</v>
      </c>
      <c r="AP24" s="2" t="str">
        <f>IFERROR(VLOOKUP(C24,'2_LN_DadosExportados'!V:V,1,FALSE),"")</f>
        <v/>
      </c>
      <c r="AQ24" t="str" cm="1">
        <f t="array" ref="AQ24">IF(AND(ISERR(FIND("sim",INDEX('existencia de wc'!K$2:K$193,MATCH('3_Industrial_Plan_Idash'!C24,'existencia de wc'!B$2:B$192,0))))=FALSE,SUMPRODUCT(('2_LN_DadosExportados'!V$2:V$314='3_Industrial_Plan_Idash'!C24)*('2_LN_DadosExportados'!A$2:A$314="X"))&gt;0), "MOSTRAR","")</f>
        <v/>
      </c>
    </row>
    <row r="25" spans="1:43" ht="15.75" hidden="1" thickBot="1" x14ac:dyDescent="0.3">
      <c r="A25" s="153" t="str">
        <f t="shared" si="10"/>
        <v>INVEST</v>
      </c>
      <c r="B25" s="161" t="s">
        <v>736</v>
      </c>
      <c r="C25" s="161" t="s">
        <v>737</v>
      </c>
      <c r="D25" s="186">
        <v>1</v>
      </c>
      <c r="E25" s="181">
        <f>IFERROR(((SUMIFS('2_LN_DadosExportados'!AL:AL,'2_LN_DadosExportados'!$V:$V,$C25,'2_LN_DadosExportados'!$A:$A,"X")+R25)/X25)*$D25,"")</f>
        <v>1.0208207898863852</v>
      </c>
      <c r="F25" s="181">
        <f>IFERROR(((SUMIFS('2_LN_DadosExportados'!AM:AM,'2_LN_DadosExportados'!$V:$V,$C25,'2_LN_DadosExportados'!$A:$A,"X")+S25)/Y25)*$D25,"")</f>
        <v>0.59420947136838087</v>
      </c>
      <c r="G25" s="181">
        <f>IFERROR(((SUMIFS('2_LN_DadosExportados'!AN:AN,'2_LN_DadosExportados'!$V:$V,$C25,'2_LN_DadosExportados'!$A:$A,"X")+T25)/Z25)*$D25,"")</f>
        <v>0.4914289559958851</v>
      </c>
      <c r="H25" s="181">
        <f>IFERROR(((SUMIFS('2_LN_DadosExportados'!AO:AO,'2_LN_DadosExportados'!$V:$V,$C25,'2_LN_DadosExportados'!$A:$A,"X")+U25)/AA25)*$D25,"")</f>
        <v>0.44770276601971087</v>
      </c>
      <c r="I25" s="181">
        <f>IFERROR(((SUMIFS('2_LN_DadosExportados'!AP:AP,'2_LN_DadosExportados'!$V:$V,$C25,'2_LN_DadosExportados'!$A:$A,"X")+V25)/AB25)*$D25,"")</f>
        <v>0.4076025804214774</v>
      </c>
      <c r="J25" s="181">
        <f>IFERROR(((SUMIFS('2_LN_DadosExportados'!AQ:AQ,'2_LN_DadosExportados'!$V:$V,$C25,'2_LN_DadosExportados'!$A:$A,"X")+W25)/AC25)*$D25,"")</f>
        <v>0.38060632286310647</v>
      </c>
      <c r="K25" s="179">
        <f t="shared" ref="K25:K26" si="29">IFERROR(R25/X25*$D25,"")</f>
        <v>1.0208207898863852</v>
      </c>
      <c r="L25" s="179">
        <f t="shared" ref="L25:L26" si="30">IFERROR(S25/Y25*$D25,"")</f>
        <v>0.59420947136838087</v>
      </c>
      <c r="M25" s="179">
        <f t="shared" ref="M25:M26" si="31">IFERROR(T25/Z25*$D25,"")</f>
        <v>0.4914289559958851</v>
      </c>
      <c r="N25" s="179">
        <f t="shared" ref="N25:N26" si="32">IFERROR(U25/AA25*$D25,"")</f>
        <v>0.44770276601971087</v>
      </c>
      <c r="O25" s="179">
        <f t="shared" ref="O25:O26" si="33">IFERROR(V25/AB25*$D25,"")</f>
        <v>0.4076025804214774</v>
      </c>
      <c r="P25" s="179">
        <f t="shared" ref="P25:P26" si="34">IFERROR(W25/AC25*$D25,"")</f>
        <v>0.38060632286310647</v>
      </c>
      <c r="Q25" s="162">
        <v>65</v>
      </c>
      <c r="R25" s="163">
        <v>2873.83</v>
      </c>
      <c r="S25" s="163">
        <v>1670.51</v>
      </c>
      <c r="T25" s="163">
        <v>1533.45</v>
      </c>
      <c r="U25" s="163">
        <v>1399.83</v>
      </c>
      <c r="V25" s="163">
        <v>1269.68</v>
      </c>
      <c r="W25" s="163">
        <v>1196.2</v>
      </c>
      <c r="X25" s="164">
        <f t="shared" si="17"/>
        <v>2815.2150000000001</v>
      </c>
      <c r="Y25" s="164">
        <f t="shared" si="18"/>
        <v>2811.3150000000005</v>
      </c>
      <c r="Z25" s="164">
        <f t="shared" si="19"/>
        <v>3120.3900000000003</v>
      </c>
      <c r="AA25" s="164">
        <f t="shared" si="20"/>
        <v>3126.6950000000002</v>
      </c>
      <c r="AB25" s="164">
        <f t="shared" si="21"/>
        <v>3114.9950000000003</v>
      </c>
      <c r="AC25" s="164">
        <f t="shared" si="22"/>
        <v>3142.88</v>
      </c>
      <c r="AD25" s="165">
        <v>4331.1000000000004</v>
      </c>
      <c r="AE25" s="165">
        <v>4325.1000000000004</v>
      </c>
      <c r="AF25" s="165">
        <v>4800.6000000000004</v>
      </c>
      <c r="AG25" s="165">
        <v>4810.3</v>
      </c>
      <c r="AH25" s="165">
        <v>4792.3</v>
      </c>
      <c r="AI25" s="165">
        <v>4835.2</v>
      </c>
      <c r="AJ25" s="166">
        <v>3837279</v>
      </c>
      <c r="AK25" s="166">
        <v>2003103</v>
      </c>
      <c r="AL25" s="166">
        <v>1831574</v>
      </c>
      <c r="AM25" s="166">
        <v>1660046</v>
      </c>
      <c r="AN25" s="166">
        <v>1488517</v>
      </c>
      <c r="AO25" s="166">
        <v>1402753</v>
      </c>
      <c r="AP25" s="2" t="str">
        <f>IFERROR(VLOOKUP(C25,'2_LN_DadosExportados'!V:V,1,FALSE),"")</f>
        <v/>
      </c>
      <c r="AQ25" t="str" cm="1">
        <f t="array" ref="AQ25">IF(AND(ISERR(FIND("sim",INDEX('existencia de wc'!K$2:K$193,MATCH('3_Industrial_Plan_Idash'!C25,'existencia de wc'!B$2:B$192,0))))=FALSE,SUMPRODUCT(('2_LN_DadosExportados'!V$2:V$314='3_Industrial_Plan_Idash'!C25)*('2_LN_DadosExportados'!A$2:A$314="X"))&gt;0), "MOSTRAR","")</f>
        <v/>
      </c>
    </row>
    <row r="26" spans="1:43" ht="15.75" hidden="1" thickBot="1" x14ac:dyDescent="0.3">
      <c r="A26" s="153" t="str">
        <f t="shared" si="10"/>
        <v>OK</v>
      </c>
      <c r="B26" s="161" t="s">
        <v>738</v>
      </c>
      <c r="C26" s="161" t="s">
        <v>739</v>
      </c>
      <c r="D26" s="186">
        <v>1</v>
      </c>
      <c r="E26" s="181">
        <f>IFERROR(((SUMIFS('2_LN_DadosExportados'!AL:AL,'2_LN_DadosExportados'!$V:$V,$C26,'2_LN_DadosExportados'!$A:$A,"X")+R26)/X26)*$D26,"")</f>
        <v>0.45983344078516203</v>
      </c>
      <c r="F26" s="181">
        <f>IFERROR(((SUMIFS('2_LN_DadosExportados'!AM:AM,'2_LN_DadosExportados'!$V:$V,$C26,'2_LN_DadosExportados'!$A:$A,"X")+S26)/Y26)*$D26,"")</f>
        <v>0.63398800917008569</v>
      </c>
      <c r="G26" s="181">
        <f>IFERROR(((SUMIFS('2_LN_DadosExportados'!AN:AN,'2_LN_DadosExportados'!$V:$V,$C26,'2_LN_DadosExportados'!$A:$A,"X")+T26)/Z26)*$D26,"")</f>
        <v>0.57990187124045389</v>
      </c>
      <c r="H26" s="181">
        <f>IFERROR(((SUMIFS('2_LN_DadosExportados'!AO:AO,'2_LN_DadosExportados'!$V:$V,$C26,'2_LN_DadosExportados'!$A:$A,"X")+U26)/AA26)*$D26,"")</f>
        <v>0.5877548017955061</v>
      </c>
      <c r="I26" s="181">
        <f>IFERROR(((SUMIFS('2_LN_DadosExportados'!AP:AP,'2_LN_DadosExportados'!$V:$V,$C26,'2_LN_DadosExportados'!$A:$A,"X")+V26)/AB26)*$D26,"")</f>
        <v>0.59933322525397303</v>
      </c>
      <c r="J26" s="181">
        <f>IFERROR(((SUMIFS('2_LN_DadosExportados'!AQ:AQ,'2_LN_DadosExportados'!$V:$V,$C26,'2_LN_DadosExportados'!$A:$A,"X")+W26)/AC26)*$D26,"")</f>
        <v>0.60362470091126608</v>
      </c>
      <c r="K26" s="179">
        <f t="shared" si="29"/>
        <v>0.45983344078516203</v>
      </c>
      <c r="L26" s="179">
        <f t="shared" si="30"/>
        <v>0.63398800917008569</v>
      </c>
      <c r="M26" s="179">
        <f t="shared" si="31"/>
        <v>0.57990187124045389</v>
      </c>
      <c r="N26" s="179">
        <f t="shared" si="32"/>
        <v>0.5877548017955061</v>
      </c>
      <c r="O26" s="179">
        <f t="shared" si="33"/>
        <v>0.59933322525397303</v>
      </c>
      <c r="P26" s="179">
        <f t="shared" si="34"/>
        <v>0.60362470091126608</v>
      </c>
      <c r="Q26" s="162">
        <v>65</v>
      </c>
      <c r="R26" s="163">
        <v>1294.53</v>
      </c>
      <c r="S26" s="163">
        <v>1782.34</v>
      </c>
      <c r="T26" s="163">
        <v>1809.52</v>
      </c>
      <c r="U26" s="163">
        <v>1837.73</v>
      </c>
      <c r="V26" s="163">
        <v>1866.92</v>
      </c>
      <c r="W26" s="163">
        <v>1897.12</v>
      </c>
      <c r="X26" s="164">
        <f t="shared" si="17"/>
        <v>2815.2150000000001</v>
      </c>
      <c r="Y26" s="164">
        <f t="shared" si="18"/>
        <v>2811.3150000000005</v>
      </c>
      <c r="Z26" s="164">
        <f t="shared" si="19"/>
        <v>3120.3900000000003</v>
      </c>
      <c r="AA26" s="164">
        <f t="shared" si="20"/>
        <v>3126.6950000000002</v>
      </c>
      <c r="AB26" s="164">
        <f t="shared" si="21"/>
        <v>3114.9950000000003</v>
      </c>
      <c r="AC26" s="164">
        <f t="shared" si="22"/>
        <v>3142.88</v>
      </c>
      <c r="AD26" s="165">
        <v>4331.1000000000004</v>
      </c>
      <c r="AE26" s="165">
        <v>4325.1000000000004</v>
      </c>
      <c r="AF26" s="165">
        <v>4800.6000000000004</v>
      </c>
      <c r="AG26" s="165">
        <v>4810.3</v>
      </c>
      <c r="AH26" s="165">
        <v>4792.3</v>
      </c>
      <c r="AI26" s="165">
        <v>4835.2</v>
      </c>
      <c r="AJ26" s="166">
        <v>1241110.52</v>
      </c>
      <c r="AK26" s="166">
        <v>1779591</v>
      </c>
      <c r="AL26" s="166">
        <v>1839591</v>
      </c>
      <c r="AM26" s="166">
        <v>1902591</v>
      </c>
      <c r="AN26" s="166">
        <v>1968741</v>
      </c>
      <c r="AO26" s="166">
        <v>2038199</v>
      </c>
      <c r="AP26" s="2" t="str">
        <f>IFERROR(VLOOKUP(C26,'2_LN_DadosExportados'!V:V,1,FALSE),"")</f>
        <v/>
      </c>
      <c r="AQ26" t="str" cm="1">
        <f t="array" ref="AQ26">IF(AND(ISERR(FIND("sim",INDEX('existencia de wc'!K$2:K$193,MATCH('3_Industrial_Plan_Idash'!C26,'existencia de wc'!B$2:B$192,0))))=FALSE,SUMPRODUCT(('2_LN_DadosExportados'!V$2:V$314='3_Industrial_Plan_Idash'!C26)*('2_LN_DadosExportados'!A$2:A$314="X"))&gt;0), "MOSTRAR","")</f>
        <v/>
      </c>
    </row>
    <row r="27" spans="1:43" ht="15.75" hidden="1" thickBot="1" x14ac:dyDescent="0.3">
      <c r="A27" s="153" t="str">
        <f t="shared" si="10"/>
        <v>INVEST</v>
      </c>
      <c r="B27" s="161" t="s">
        <v>740</v>
      </c>
      <c r="C27" s="161" t="s">
        <v>741</v>
      </c>
      <c r="D27" s="186">
        <v>1</v>
      </c>
      <c r="E27" s="181">
        <f>IFERROR(((SUMIFS('2_LN_DadosExportados'!AL:AL,'2_LN_DadosExportados'!$V:$V,$C27,'2_LN_DadosExportados'!$A:$A,"X")+R27)/X27)*$D27,"")</f>
        <v>1.1392913152281441</v>
      </c>
      <c r="F27" s="181">
        <f>IFERROR(((SUMIFS('2_LN_DadosExportados'!AM:AM,'2_LN_DadosExportados'!$V:$V,$C27,'2_LN_DadosExportados'!$A:$A,"X")+S27)/Y27)*$D27,"")</f>
        <v>0.8933541776713031</v>
      </c>
      <c r="G27" s="181">
        <f>IFERROR(((SUMIFS('2_LN_DadosExportados'!AN:AN,'2_LN_DadosExportados'!$V:$V,$C27,'2_LN_DadosExportados'!$A:$A,"X")+T27)/Z27)*$D27,"")</f>
        <v>0.77659523328814661</v>
      </c>
      <c r="H27" s="181">
        <f>IFERROR(((SUMIFS('2_LN_DadosExportados'!AO:AO,'2_LN_DadosExportados'!$V:$V,$C27,'2_LN_DadosExportados'!$A:$A,"X")+U27)/AA27)*$D27,"")</f>
        <v>0.74730985913240655</v>
      </c>
      <c r="I27" s="181">
        <f>IFERROR(((SUMIFS('2_LN_DadosExportados'!AP:AP,'2_LN_DadosExportados'!$V:$V,$C27,'2_LN_DadosExportados'!$A:$A,"X")+V27)/AB27)*$D27,"")</f>
        <v>0.72280051813887336</v>
      </c>
      <c r="J27" s="181">
        <f>IFERROR(((SUMIFS('2_LN_DadosExportados'!AQ:AQ,'2_LN_DadosExportados'!$V:$V,$C27,'2_LN_DadosExportados'!$A:$A,"X")+W27)/AC27)*$D27,"")</f>
        <v>0.69737947360382835</v>
      </c>
      <c r="K27" s="179">
        <f t="shared" ref="K27:K47" si="35">IFERROR(R27/X27*$D27,"")</f>
        <v>1.1392913152281441</v>
      </c>
      <c r="L27" s="179">
        <f t="shared" ref="L27:L47" si="36">IFERROR(S27/Y27*$D27,"")</f>
        <v>0.8933541776713031</v>
      </c>
      <c r="M27" s="179">
        <f t="shared" ref="M27:M47" si="37">IFERROR(T27/Z27*$D27,"")</f>
        <v>0.77659523328814661</v>
      </c>
      <c r="N27" s="179">
        <f t="shared" ref="N27:N47" si="38">IFERROR(U27/AA27*$D27,"")</f>
        <v>0.74730985913240655</v>
      </c>
      <c r="O27" s="179">
        <f t="shared" ref="O27:O47" si="39">IFERROR(V27/AB27*$D27,"")</f>
        <v>0.72280051813887336</v>
      </c>
      <c r="P27" s="179">
        <f t="shared" ref="P27:P47" si="40">IFERROR(W27/AC27*$D27,"")</f>
        <v>0.69737947360382835</v>
      </c>
      <c r="Q27" s="162">
        <v>65</v>
      </c>
      <c r="R27" s="163">
        <v>3207.35</v>
      </c>
      <c r="S27" s="163">
        <v>2511.5</v>
      </c>
      <c r="T27" s="163">
        <v>2423.2800000000002</v>
      </c>
      <c r="U27" s="163">
        <v>2336.61</v>
      </c>
      <c r="V27" s="163">
        <v>2251.52</v>
      </c>
      <c r="W27" s="163">
        <v>2191.7800000000002</v>
      </c>
      <c r="X27" s="164">
        <f t="shared" si="17"/>
        <v>2815.2150000000001</v>
      </c>
      <c r="Y27" s="164">
        <f t="shared" si="18"/>
        <v>2811.3150000000005</v>
      </c>
      <c r="Z27" s="164">
        <f t="shared" si="19"/>
        <v>3120.3900000000003</v>
      </c>
      <c r="AA27" s="164">
        <f t="shared" si="20"/>
        <v>3126.6950000000002</v>
      </c>
      <c r="AB27" s="164">
        <f t="shared" si="21"/>
        <v>3114.9950000000003</v>
      </c>
      <c r="AC27" s="164">
        <f t="shared" si="22"/>
        <v>3142.88</v>
      </c>
      <c r="AD27" s="165">
        <v>4331.1000000000004</v>
      </c>
      <c r="AE27" s="165">
        <v>4325.1000000000004</v>
      </c>
      <c r="AF27" s="165">
        <v>4800.6000000000004</v>
      </c>
      <c r="AG27" s="165">
        <v>4810.3</v>
      </c>
      <c r="AH27" s="165">
        <v>4792.3</v>
      </c>
      <c r="AI27" s="165">
        <v>4835.2</v>
      </c>
      <c r="AJ27" s="166">
        <v>8181781</v>
      </c>
      <c r="AK27" s="166">
        <v>5655789</v>
      </c>
      <c r="AL27" s="166">
        <v>5575131</v>
      </c>
      <c r="AM27" s="166">
        <v>5494477</v>
      </c>
      <c r="AN27" s="166">
        <v>5413819</v>
      </c>
      <c r="AO27" s="166">
        <v>5373489</v>
      </c>
      <c r="AP27" s="2" t="str">
        <f>IFERROR(VLOOKUP(C27,'2_LN_DadosExportados'!V:V,1,FALSE),"")</f>
        <v/>
      </c>
      <c r="AQ27" t="str" cm="1">
        <f t="array" ref="AQ27">IF(AND(ISERR(FIND("sim",INDEX('existencia de wc'!K$2:K$193,MATCH('3_Industrial_Plan_Idash'!C27,'existencia de wc'!B$2:B$192,0))))=FALSE,SUMPRODUCT(('2_LN_DadosExportados'!V$2:V$314='3_Industrial_Plan_Idash'!C27)*('2_LN_DadosExportados'!A$2:A$314="X"))&gt;0), "MOSTRAR","")</f>
        <v/>
      </c>
    </row>
    <row r="28" spans="1:43" ht="15.75" hidden="1" thickBot="1" x14ac:dyDescent="0.3">
      <c r="A28" s="153" t="str">
        <f t="shared" si="10"/>
        <v>INVEST</v>
      </c>
      <c r="B28" s="161" t="s">
        <v>742</v>
      </c>
      <c r="C28" s="161" t="s">
        <v>88</v>
      </c>
      <c r="D28" s="186">
        <v>2</v>
      </c>
      <c r="E28" s="181">
        <f>IFERROR(((SUMIFS('2_LN_DadosExportados'!AL:AL,'2_LN_DadosExportados'!$V:$V,$C28,'2_LN_DadosExportados'!$A:$A,"X")+R28)/X28)*$D28,"")</f>
        <v>1.7175526558362326</v>
      </c>
      <c r="F28" s="181" t="str">
        <f>IFERROR(((SUMIFS('2_LN_DadosExportados'!AM:AM,'2_LN_DadosExportados'!$V:$V,$C28,'2_LN_DadosExportados'!$A:$A,"X")+S28)/Y28)*$D28,"")</f>
        <v/>
      </c>
      <c r="G28" s="181">
        <f>IFERROR(((SUMIFS('2_LN_DadosExportados'!AN:AN,'2_LN_DadosExportados'!$V:$V,$C28,'2_LN_DadosExportados'!$A:$A,"X")+T28)/Z28)*$D28,"")</f>
        <v>1.533535872118549</v>
      </c>
      <c r="H28" s="181">
        <f>IFERROR(((SUMIFS('2_LN_DadosExportados'!AO:AO,'2_LN_DadosExportados'!$V:$V,$C28,'2_LN_DadosExportados'!$A:$A,"X")+U28)/AA28)*$D28,"")</f>
        <v>1.5700252183215821</v>
      </c>
      <c r="I28" s="181">
        <f>IFERROR(((SUMIFS('2_LN_DadosExportados'!AP:AP,'2_LN_DadosExportados'!$V:$V,$C28,'2_LN_DadosExportados'!$A:$A,"X")+V28)/AB28)*$D28,"")</f>
        <v>1.6440507930189292</v>
      </c>
      <c r="J28" s="181">
        <f>IFERROR(((SUMIFS('2_LN_DadosExportados'!AQ:AQ,'2_LN_DadosExportados'!$V:$V,$C28,'2_LN_DadosExportados'!$A:$A,"X")+W28)/AC28)*$D28,"")</f>
        <v>1.6528852517436234</v>
      </c>
      <c r="K28" s="179">
        <f>IFERROR(R28/X28*$D28,"")</f>
        <v>1.7175526558362326</v>
      </c>
      <c r="L28" s="179" t="str">
        <f>IFERROR(S28/Y28*$D28,"")</f>
        <v/>
      </c>
      <c r="M28" s="179">
        <f t="shared" si="37"/>
        <v>1.533535872118549</v>
      </c>
      <c r="N28" s="179">
        <f t="shared" si="38"/>
        <v>1.5700252183215821</v>
      </c>
      <c r="O28" s="179">
        <f t="shared" si="39"/>
        <v>1.6440507930189292</v>
      </c>
      <c r="P28" s="179">
        <f t="shared" si="40"/>
        <v>1.6528852517436234</v>
      </c>
      <c r="Q28" s="162">
        <v>65</v>
      </c>
      <c r="R28" s="163">
        <v>4835.28</v>
      </c>
      <c r="S28" s="163" t="e">
        <f>4355.95+'1_RFQ_DadosVendas'!#REF!</f>
        <v>#REF!</v>
      </c>
      <c r="T28" s="163">
        <f>4685.23+100</f>
        <v>4785.2299999999996</v>
      </c>
      <c r="U28" s="163">
        <v>4908.99</v>
      </c>
      <c r="V28" s="163">
        <v>5121.21</v>
      </c>
      <c r="W28" s="163">
        <v>5194.82</v>
      </c>
      <c r="X28" s="164">
        <f>AD28*($Q28/100)</f>
        <v>5630.43</v>
      </c>
      <c r="Y28" s="164">
        <f>AE28*($Q28/100)</f>
        <v>5622.630000000001</v>
      </c>
      <c r="Z28" s="164">
        <f t="shared" si="19"/>
        <v>6240.7800000000007</v>
      </c>
      <c r="AA28" s="164">
        <f t="shared" si="20"/>
        <v>6253.39</v>
      </c>
      <c r="AB28" s="164">
        <f t="shared" si="21"/>
        <v>6229.9900000000007</v>
      </c>
      <c r="AC28" s="164">
        <f t="shared" si="22"/>
        <v>6285.76</v>
      </c>
      <c r="AD28" s="165">
        <v>8662.2000000000007</v>
      </c>
      <c r="AE28" s="165">
        <v>8650.2000000000007</v>
      </c>
      <c r="AF28" s="165">
        <v>9601.2000000000007</v>
      </c>
      <c r="AG28" s="165">
        <v>9620.6</v>
      </c>
      <c r="AH28" s="165">
        <v>9584.6</v>
      </c>
      <c r="AI28" s="165">
        <v>9670.4</v>
      </c>
      <c r="AJ28" s="166">
        <v>3794678</v>
      </c>
      <c r="AK28" s="166">
        <v>3344041</v>
      </c>
      <c r="AL28" s="166">
        <v>3591114</v>
      </c>
      <c r="AM28" s="166">
        <v>3788571</v>
      </c>
      <c r="AN28" s="166">
        <v>3984658</v>
      </c>
      <c r="AO28" s="166">
        <v>4089528</v>
      </c>
      <c r="AP28" s="2" t="str">
        <f>IFERROR(VLOOKUP(C28,'2_LN_DadosExportados'!V:V,1,FALSE),"")</f>
        <v/>
      </c>
      <c r="AQ28" t="str" cm="1">
        <f t="array" ref="AQ28">IF(AND(ISERR(FIND("sim",INDEX('existencia de wc'!K$2:K$193,MATCH('3_Industrial_Plan_Idash'!C28,'existencia de wc'!B$2:B$192,0))))=FALSE,SUMPRODUCT(('2_LN_DadosExportados'!V$2:V$314='3_Industrial_Plan_Idash'!C28)*('2_LN_DadosExportados'!A$2:A$314="X"))&gt;0), "MOSTRAR","")</f>
        <v/>
      </c>
    </row>
    <row r="29" spans="1:43" ht="15.75" hidden="1" thickBot="1" x14ac:dyDescent="0.3">
      <c r="A29" s="153" t="str">
        <f t="shared" si="10"/>
        <v>OK</v>
      </c>
      <c r="B29" s="161" t="s">
        <v>743</v>
      </c>
      <c r="C29" s="161" t="s">
        <v>744</v>
      </c>
      <c r="D29" s="186">
        <v>1</v>
      </c>
      <c r="E29" s="181">
        <f>IFERROR(((SUMIFS('2_LN_DadosExportados'!AL:AL,'2_LN_DadosExportados'!$V:$V,$C29,'2_LN_DadosExportados'!$A:$A,"X")+R29)/X29)*$D29,"")</f>
        <v>0.39516520052642512</v>
      </c>
      <c r="F29" s="181">
        <f>IFERROR(((SUMIFS('2_LN_DadosExportados'!AM:AM,'2_LN_DadosExportados'!$V:$V,$C29,'2_LN_DadosExportados'!$A:$A,"X")+S29)/Y29)*$D29,"")</f>
        <v>0.45117261257928526</v>
      </c>
      <c r="G29" s="181">
        <f>IFERROR(((SUMIFS('2_LN_DadosExportados'!AN:AN,'2_LN_DadosExportados'!$V:$V,$C29,'2_LN_DadosExportados'!$A:$A,"X")+T29)/Z29)*$D29,"")</f>
        <v>0.40029024149759057</v>
      </c>
      <c r="H29" s="181">
        <f>IFERROR(((SUMIFS('2_LN_DadosExportados'!AO:AO,'2_LN_DadosExportados'!$V:$V,$C29,'2_LN_DadosExportados'!$A:$A,"X")+U29)/AA29)*$D29,"")</f>
        <v>0.3933088026387821</v>
      </c>
      <c r="I29" s="181">
        <f>IFERROR(((SUMIFS('2_LN_DadosExportados'!AP:AP,'2_LN_DadosExportados'!$V:$V,$C29,'2_LN_DadosExportados'!$A:$A,"X")+V29)/AB29)*$D29,"")</f>
        <v>0.38858516091786127</v>
      </c>
      <c r="J29" s="181">
        <f>IFERROR(((SUMIFS('2_LN_DadosExportados'!AQ:AQ,'2_LN_DadosExportados'!$V:$V,$C29,'2_LN_DadosExportados'!$A:$A,"X")+W29)/AC29)*$D29,"")</f>
        <v>0.37899156187954997</v>
      </c>
      <c r="K29" s="179">
        <f t="shared" si="35"/>
        <v>0.39516520052642512</v>
      </c>
      <c r="L29" s="179">
        <f t="shared" si="36"/>
        <v>0.45117261257928526</v>
      </c>
      <c r="M29" s="179">
        <f t="shared" si="37"/>
        <v>0.40029024149759057</v>
      </c>
      <c r="N29" s="179">
        <f t="shared" si="38"/>
        <v>0.3933088026387821</v>
      </c>
      <c r="O29" s="179">
        <f t="shared" si="39"/>
        <v>0.38858516091786127</v>
      </c>
      <c r="P29" s="179">
        <f t="shared" si="40"/>
        <v>0.37899156187954997</v>
      </c>
      <c r="Q29" s="162">
        <v>60</v>
      </c>
      <c r="R29" s="163">
        <v>1026.9000000000001</v>
      </c>
      <c r="S29" s="163">
        <v>1170.82</v>
      </c>
      <c r="T29" s="163">
        <v>1152.98</v>
      </c>
      <c r="U29" s="163">
        <v>1135.1600000000001</v>
      </c>
      <c r="V29" s="163">
        <v>1117.33</v>
      </c>
      <c r="W29" s="163">
        <v>1099.5</v>
      </c>
      <c r="X29" s="164">
        <f t="shared" si="17"/>
        <v>2598.6600000000003</v>
      </c>
      <c r="Y29" s="164">
        <f t="shared" si="18"/>
        <v>2595.06</v>
      </c>
      <c r="Z29" s="164">
        <f t="shared" si="19"/>
        <v>2880.36</v>
      </c>
      <c r="AA29" s="164">
        <f t="shared" si="20"/>
        <v>2886.18</v>
      </c>
      <c r="AB29" s="164">
        <f t="shared" si="21"/>
        <v>2875.38</v>
      </c>
      <c r="AC29" s="164">
        <f t="shared" si="22"/>
        <v>2901.12</v>
      </c>
      <c r="AD29" s="165">
        <v>4331.1000000000004</v>
      </c>
      <c r="AE29" s="165">
        <v>4325.1000000000004</v>
      </c>
      <c r="AF29" s="165">
        <v>4800.6000000000004</v>
      </c>
      <c r="AG29" s="165">
        <v>4810.3</v>
      </c>
      <c r="AH29" s="165">
        <v>4792.3</v>
      </c>
      <c r="AI29" s="165">
        <v>4835.2</v>
      </c>
      <c r="AJ29" s="166">
        <v>774700</v>
      </c>
      <c r="AK29" s="166">
        <v>778049</v>
      </c>
      <c r="AL29" s="166">
        <v>778049</v>
      </c>
      <c r="AM29" s="166">
        <v>778049</v>
      </c>
      <c r="AN29" s="166">
        <v>778049</v>
      </c>
      <c r="AO29" s="166">
        <v>778049</v>
      </c>
      <c r="AP29" s="2" t="str">
        <f>IFERROR(VLOOKUP(C29,'2_LN_DadosExportados'!V:V,1,FALSE),"")</f>
        <v/>
      </c>
      <c r="AQ29" t="str" cm="1">
        <f t="array" ref="AQ29">IF(AND(ISERR(FIND("sim",INDEX('existencia de wc'!K$2:K$193,MATCH('3_Industrial_Plan_Idash'!C29,'existencia de wc'!B$2:B$192,0))))=FALSE,SUMPRODUCT(('2_LN_DadosExportados'!V$2:V$314='3_Industrial_Plan_Idash'!C29)*('2_LN_DadosExportados'!A$2:A$314="X"))&gt;0), "MOSTRAR","")</f>
        <v/>
      </c>
    </row>
    <row r="30" spans="1:43" ht="15.75" thickBot="1" x14ac:dyDescent="0.3">
      <c r="A30" s="153" t="str">
        <f t="shared" si="10"/>
        <v>INVEST</v>
      </c>
      <c r="B30" s="161" t="s">
        <v>745</v>
      </c>
      <c r="C30" s="161" t="s">
        <v>90</v>
      </c>
      <c r="D30" s="186">
        <v>2</v>
      </c>
      <c r="E30" s="181">
        <f>IFERROR(((SUMIFS('2_LN_DadosExportados'!AL:AL,'2_LN_DadosExportados'!$V:$V,$C30,'2_LN_DadosExportados'!$A:$A,"X")+R30)/X30)*$D30,"")</f>
        <v>1.604846343884925</v>
      </c>
      <c r="F30" s="181" t="str">
        <f>IFERROR(((SUMIFS('2_LN_DadosExportados'!AM:AM,'2_LN_DadosExportados'!$V:$V,$C30,'2_LN_DadosExportados'!$A:$A,"X")+S30)/Y30)*$D30,"")</f>
        <v/>
      </c>
      <c r="G30" s="181" t="str">
        <f>IFERROR(((SUMIFS('2_LN_DadosExportados'!AN:AN,'2_LN_DadosExportados'!$V:$V,$C30,'2_LN_DadosExportados'!$A:$A,"X")+T30)/Z30)*$D30,"")</f>
        <v/>
      </c>
      <c r="H30" s="181" t="str">
        <f>IFERROR(((SUMIFS('2_LN_DadosExportados'!AO:AO,'2_LN_DadosExportados'!$V:$V,$C30,'2_LN_DadosExportados'!$A:$A,"X")+U30)/AA30)*$D30,"")</f>
        <v/>
      </c>
      <c r="I30" s="181" t="str">
        <f>IFERROR(((SUMIFS('2_LN_DadosExportados'!AP:AP,'2_LN_DadosExportados'!$V:$V,$C30,'2_LN_DadosExportados'!$A:$A,"X")+V30)/AB30)*$D30,"")</f>
        <v/>
      </c>
      <c r="J30" s="181" t="str">
        <f>IFERROR(((SUMIFS('2_LN_DadosExportados'!AQ:AQ,'2_LN_DadosExportados'!$V:$V,$C30,'2_LN_DadosExportados'!$A:$A,"X")+W30)/AC30)*$D30,"")</f>
        <v/>
      </c>
      <c r="K30" s="179">
        <f t="shared" si="35"/>
        <v>1.604846343884925</v>
      </c>
      <c r="L30" s="179" t="str">
        <f t="shared" si="36"/>
        <v/>
      </c>
      <c r="M30" s="179" t="str">
        <f t="shared" si="37"/>
        <v/>
      </c>
      <c r="N30" s="179" t="str">
        <f t="shared" si="38"/>
        <v/>
      </c>
      <c r="O30" s="179" t="str">
        <f t="shared" si="39"/>
        <v/>
      </c>
      <c r="P30" s="179" t="str">
        <f t="shared" si="40"/>
        <v/>
      </c>
      <c r="Q30" s="162">
        <v>60</v>
      </c>
      <c r="R30" s="163">
        <v>4170.45</v>
      </c>
      <c r="S30" s="187" t="e">
        <f>4936.75-#REF!</f>
        <v>#REF!</v>
      </c>
      <c r="T30" s="187" t="e">
        <f>4936.75-#REF!</f>
        <v>#REF!</v>
      </c>
      <c r="U30" s="187" t="e">
        <f>4936.75-#REF!</f>
        <v>#REF!</v>
      </c>
      <c r="V30" s="187" t="e">
        <f>4936.75-#REF!</f>
        <v>#REF!</v>
      </c>
      <c r="W30" s="187" t="e">
        <f>4936.75-#REF!</f>
        <v>#REF!</v>
      </c>
      <c r="X30" s="164">
        <f t="shared" si="17"/>
        <v>5197.3200000000006</v>
      </c>
      <c r="Y30" s="164">
        <f t="shared" si="18"/>
        <v>5190.12</v>
      </c>
      <c r="Z30" s="164">
        <f t="shared" si="19"/>
        <v>5760.72</v>
      </c>
      <c r="AA30" s="164">
        <f t="shared" si="20"/>
        <v>5772.36</v>
      </c>
      <c r="AB30" s="164">
        <f t="shared" si="21"/>
        <v>5750.76</v>
      </c>
      <c r="AC30" s="164">
        <f t="shared" si="22"/>
        <v>5802.24</v>
      </c>
      <c r="AD30" s="165">
        <v>8662.2000000000007</v>
      </c>
      <c r="AE30" s="165">
        <v>8650.2000000000007</v>
      </c>
      <c r="AF30" s="165">
        <v>9601.2000000000007</v>
      </c>
      <c r="AG30" s="165">
        <v>9620.6</v>
      </c>
      <c r="AH30" s="165">
        <v>9584.6</v>
      </c>
      <c r="AI30" s="165">
        <v>9670.4</v>
      </c>
      <c r="AJ30" s="166">
        <v>1732534</v>
      </c>
      <c r="AK30" s="166">
        <v>2040556</v>
      </c>
      <c r="AL30" s="166">
        <v>2117380</v>
      </c>
      <c r="AM30" s="166">
        <v>2263911</v>
      </c>
      <c r="AN30" s="166">
        <v>2407511</v>
      </c>
      <c r="AO30" s="166">
        <v>2452848</v>
      </c>
      <c r="AP30" s="2" t="str">
        <f>IFERROR(VLOOKUP(C30,'2_LN_DadosExportados'!V:V,1,FALSE),"")</f>
        <v>WC - Com KPP 450 t Osterw 1/2</v>
      </c>
      <c r="AQ30" t="str" cm="1">
        <f t="array" ref="AQ30">IF(AND(ISERR(FIND("sim",INDEX('existencia de wc'!K$2:K$193,MATCH('3_Industrial_Plan_Idash'!C30,'existencia de wc'!B$2:B$192,0))))=FALSE,SUMPRODUCT(('2_LN_DadosExportados'!V$2:V$314='3_Industrial_Plan_Idash'!C30)*('2_LN_DadosExportados'!A$2:A$314="X"))&gt;0), "MOSTRAR","")</f>
        <v/>
      </c>
    </row>
    <row r="31" spans="1:43" ht="15.75" thickBot="1" x14ac:dyDescent="0.3">
      <c r="A31" s="153" t="str">
        <f t="shared" si="10"/>
        <v>OK</v>
      </c>
      <c r="B31" s="161" t="s">
        <v>746</v>
      </c>
      <c r="C31" s="161" t="s">
        <v>46</v>
      </c>
      <c r="D31" s="186">
        <v>2</v>
      </c>
      <c r="E31" s="181">
        <f>IFERROR(((SUMIFS('2_LN_DadosExportados'!AL:AL,'2_LN_DadosExportados'!$V:$V,$C31,'2_LN_DadosExportados'!$A:$A,"X")+R31)/X31)*$D31,"")</f>
        <v>0.9573984057847007</v>
      </c>
      <c r="F31" s="181">
        <f>IFERROR(((SUMIFS('2_LN_DadosExportados'!AM:AM,'2_LN_DadosExportados'!$V:$V,$C31,'2_LN_DadosExportados'!$A:$A,"X")+S31)/Y31)*$D31,"")</f>
        <v>0.89153463979751568</v>
      </c>
      <c r="G31" s="181">
        <f>IFERROR(((SUMIFS('2_LN_DadosExportados'!AN:AN,'2_LN_DadosExportados'!$V:$V,$C31,'2_LN_DadosExportados'!$A:$A,"X")+T31)/Z31)*$D31,"")</f>
        <v>0.76089018284479149</v>
      </c>
      <c r="H31" s="181">
        <f>IFERROR(((SUMIFS('2_LN_DadosExportados'!AO:AO,'2_LN_DadosExportados'!$V:$V,$C31,'2_LN_DadosExportados'!$A:$A,"X")+U31)/AA31)*$D31,"")</f>
        <v>0.72596915197902534</v>
      </c>
      <c r="I31" s="181">
        <f>IFERROR(((SUMIFS('2_LN_DadosExportados'!AP:AP,'2_LN_DadosExportados'!$V:$V,$C31,'2_LN_DadosExportados'!$A:$A,"X")+V31)/AB31)*$D31,"")</f>
        <v>0.69604058471248609</v>
      </c>
      <c r="J31" s="181">
        <f>IFERROR(((SUMIFS('2_LN_DadosExportados'!AQ:AQ,'2_LN_DadosExportados'!$V:$V,$C31,'2_LN_DadosExportados'!$A:$A,"X")+W31)/AC31)*$D31,"")</f>
        <v>0.66889379841943397</v>
      </c>
      <c r="K31" s="179">
        <f t="shared" si="35"/>
        <v>0.9573984057847007</v>
      </c>
      <c r="L31" s="179">
        <f t="shared" si="36"/>
        <v>0.89153463979751568</v>
      </c>
      <c r="M31" s="179">
        <f t="shared" si="37"/>
        <v>0.76089018284479149</v>
      </c>
      <c r="N31" s="179">
        <f t="shared" si="38"/>
        <v>0.72596915197902534</v>
      </c>
      <c r="O31" s="179">
        <f t="shared" si="39"/>
        <v>0.69604058471248609</v>
      </c>
      <c r="P31" s="179">
        <f t="shared" si="40"/>
        <v>0.66889379841943397</v>
      </c>
      <c r="Q31" s="162">
        <v>85</v>
      </c>
      <c r="R31" s="163">
        <v>3524.6</v>
      </c>
      <c r="S31" s="163">
        <v>3277.58</v>
      </c>
      <c r="T31" s="163">
        <v>3104.82</v>
      </c>
      <c r="U31" s="163">
        <v>2968.31</v>
      </c>
      <c r="V31" s="163">
        <v>2835.29</v>
      </c>
      <c r="W31" s="163">
        <v>2749.1</v>
      </c>
      <c r="X31" s="164">
        <f>AD31*($Q31/100)</f>
        <v>7362.8700000000008</v>
      </c>
      <c r="Y31" s="164">
        <f t="shared" si="18"/>
        <v>7352.67</v>
      </c>
      <c r="Z31" s="164">
        <f t="shared" si="19"/>
        <v>8161.02</v>
      </c>
      <c r="AA31" s="164">
        <f t="shared" si="20"/>
        <v>8177.51</v>
      </c>
      <c r="AB31" s="164">
        <f t="shared" si="21"/>
        <v>8146.91</v>
      </c>
      <c r="AC31" s="164">
        <f t="shared" si="22"/>
        <v>8219.84</v>
      </c>
      <c r="AD31" s="165">
        <v>8662.2000000000007</v>
      </c>
      <c r="AE31" s="165">
        <v>8650.2000000000007</v>
      </c>
      <c r="AF31" s="165">
        <v>9601.2000000000007</v>
      </c>
      <c r="AG31" s="165">
        <v>9620.6</v>
      </c>
      <c r="AH31" s="165">
        <v>9584.6</v>
      </c>
      <c r="AI31" s="165">
        <v>9670.4</v>
      </c>
      <c r="AJ31" s="166">
        <v>15593561</v>
      </c>
      <c r="AK31" s="166">
        <v>10258868</v>
      </c>
      <c r="AL31" s="166">
        <v>9263588</v>
      </c>
      <c r="AM31" s="166">
        <v>8313147</v>
      </c>
      <c r="AN31" s="166">
        <v>7364261</v>
      </c>
      <c r="AO31" s="166">
        <v>6893340</v>
      </c>
      <c r="AP31" s="2" t="str">
        <f>IFERROR(VLOOKUP(C31,'2_LN_DadosExportados'!V:V,1,FALSE),"")</f>
        <v>WC - Sin Abbott RapidCool 1/2</v>
      </c>
      <c r="AQ31" t="str" cm="1">
        <f t="array" ref="AQ31">IF(AND(ISERR(FIND("sim",INDEX('existencia de wc'!K$2:K$193,MATCH('3_Industrial_Plan_Idash'!C31,'existencia de wc'!B$2:B$192,0))))=FALSE,SUMPRODUCT(('2_LN_DadosExportados'!V$2:V$314='3_Industrial_Plan_Idash'!C31)*('2_LN_DadosExportados'!A$2:A$314="X"))&gt;0), "MOSTRAR","")</f>
        <v/>
      </c>
    </row>
    <row r="32" spans="1:43" ht="15.75" hidden="1" thickBot="1" x14ac:dyDescent="0.3">
      <c r="A32" s="153" t="str">
        <f t="shared" si="10"/>
        <v>INVEST</v>
      </c>
      <c r="B32" s="161" t="s">
        <v>747</v>
      </c>
      <c r="C32" s="161" t="s">
        <v>79</v>
      </c>
      <c r="D32" s="186">
        <v>1</v>
      </c>
      <c r="E32" s="181">
        <f>IFERROR(((SUMIFS('2_LN_DadosExportados'!AL:AL,'2_LN_DadosExportados'!$V:$V,$C32,'2_LN_DadosExportados'!$A:$A,"X")+R32)/X32)*$D32,"")</f>
        <v>1.6133899669665492</v>
      </c>
      <c r="F32" s="181">
        <f>IFERROR(((SUMIFS('2_LN_DadosExportados'!AM:AM,'2_LN_DadosExportados'!$V:$V,$C32,'2_LN_DadosExportados'!$A:$A,"X")+S32)/Y32)*$D32,"")</f>
        <v>1.9187724187268025</v>
      </c>
      <c r="G32" s="181">
        <f>IFERROR(((SUMIFS('2_LN_DadosExportados'!AN:AN,'2_LN_DadosExportados'!$V:$V,$C32,'2_LN_DadosExportados'!$A:$A,"X")+T32)/Z32)*$D32,"")</f>
        <v>1.9099351509017233</v>
      </c>
      <c r="H32" s="181">
        <f>IFERROR(((SUMIFS('2_LN_DadosExportados'!AO:AO,'2_LN_DadosExportados'!$V:$V,$C32,'2_LN_DadosExportados'!$A:$A,"X")+U32)/AA32)*$D32,"")</f>
        <v>2.1035498580863856</v>
      </c>
      <c r="I32" s="181">
        <f>IFERROR(((SUMIFS('2_LN_DadosExportados'!AP:AP,'2_LN_DadosExportados'!$V:$V,$C32,'2_LN_DadosExportados'!$A:$A,"X")+V32)/AB32)*$D32,"")</f>
        <v>2.3036476067472895</v>
      </c>
      <c r="J32" s="181">
        <f>IFERROR(((SUMIFS('2_LN_DadosExportados'!AQ:AQ,'2_LN_DadosExportados'!$V:$V,$C32,'2_LN_DadosExportados'!$A:$A,"X")+W32)/AC32)*$D32,"")</f>
        <v>2.3823887020032122</v>
      </c>
      <c r="K32" s="179">
        <f t="shared" si="35"/>
        <v>1.6133899669665492</v>
      </c>
      <c r="L32" s="179">
        <f t="shared" si="36"/>
        <v>1.9187724187268025</v>
      </c>
      <c r="M32" s="179">
        <f t="shared" si="37"/>
        <v>1.9099351509017233</v>
      </c>
      <c r="N32" s="179">
        <f t="shared" si="38"/>
        <v>2.1035498580863856</v>
      </c>
      <c r="O32" s="179">
        <f t="shared" si="39"/>
        <v>2.3036476067472895</v>
      </c>
      <c r="P32" s="179">
        <f t="shared" si="40"/>
        <v>2.3823887020032122</v>
      </c>
      <c r="Q32" s="162">
        <v>85</v>
      </c>
      <c r="R32" s="163">
        <v>6322.48</v>
      </c>
      <c r="S32" s="163">
        <f>6895.32+158.7302</f>
        <v>7054.0501999999997</v>
      </c>
      <c r="T32" s="163">
        <f>7742.23+79.365079</f>
        <v>7821.5950789999997</v>
      </c>
      <c r="U32" s="163">
        <v>8600.9</v>
      </c>
      <c r="V32" s="163">
        <v>9417.68</v>
      </c>
      <c r="W32" s="163">
        <v>9826.4599999999991</v>
      </c>
      <c r="X32" s="164">
        <f t="shared" si="17"/>
        <v>3918.7550000000001</v>
      </c>
      <c r="Y32" s="164">
        <f t="shared" si="18"/>
        <v>3676.335</v>
      </c>
      <c r="Z32" s="164">
        <f t="shared" si="19"/>
        <v>4095.2149999999997</v>
      </c>
      <c r="AA32" s="164">
        <f t="shared" si="20"/>
        <v>4088.7550000000001</v>
      </c>
      <c r="AB32" s="164">
        <f t="shared" si="21"/>
        <v>4088.1600000000003</v>
      </c>
      <c r="AC32" s="164">
        <f t="shared" si="22"/>
        <v>4124.625</v>
      </c>
      <c r="AD32" s="165">
        <v>4610.3</v>
      </c>
      <c r="AE32" s="165">
        <v>4325.1000000000004</v>
      </c>
      <c r="AF32" s="165">
        <v>4817.8999999999996</v>
      </c>
      <c r="AG32" s="165">
        <v>4810.3</v>
      </c>
      <c r="AH32" s="165">
        <v>4809.6000000000004</v>
      </c>
      <c r="AI32" s="165">
        <v>4852.5</v>
      </c>
      <c r="AJ32" s="166">
        <v>23218029.52</v>
      </c>
      <c r="AK32" s="166">
        <v>19144474</v>
      </c>
      <c r="AL32" s="166">
        <v>21836326</v>
      </c>
      <c r="AM32" s="166">
        <v>24506438</v>
      </c>
      <c r="AN32" s="166">
        <v>27173836</v>
      </c>
      <c r="AO32" s="166">
        <v>29745074</v>
      </c>
      <c r="AP32" s="2" t="str">
        <f>IFERROR(VLOOKUP(C32,'2_LN_DadosExportados'!V:V,1,FALSE),"")</f>
        <v>WC - Sin Abbott Convencional 3</v>
      </c>
      <c r="AQ32" t="str" cm="1">
        <f t="array" ref="AQ32">IF(AND(ISERR(FIND("sim",INDEX('existencia de wc'!K$2:K$193,MATCH('3_Industrial_Plan_Idash'!C32,'existencia de wc'!B$2:B$192,0))))=FALSE,SUMPRODUCT(('2_LN_DadosExportados'!V$2:V$314='3_Industrial_Plan_Idash'!C32)*('2_LN_DadosExportados'!A$2:A$314="X"))&gt;0), "MOSTRAR","")</f>
        <v/>
      </c>
    </row>
    <row r="33" spans="1:43" ht="15.75" hidden="1" thickBot="1" x14ac:dyDescent="0.3">
      <c r="A33" s="153" t="str">
        <f t="shared" si="10"/>
        <v>OK</v>
      </c>
      <c r="B33" s="161" t="s">
        <v>748</v>
      </c>
      <c r="C33" s="161" t="s">
        <v>749</v>
      </c>
      <c r="D33" s="186">
        <v>1</v>
      </c>
      <c r="E33" s="181">
        <f>IFERROR(((SUMIFS('2_LN_DadosExportados'!AL:AL,'2_LN_DadosExportados'!$V:$V,$C33,'2_LN_DadosExportados'!$A:$A,"X")+R33)/X33)*$D33,"")</f>
        <v>0.3393242666782349</v>
      </c>
      <c r="F33" s="181">
        <f>IFERROR(((SUMIFS('2_LN_DadosExportados'!AM:AM,'2_LN_DadosExportados'!$V:$V,$C33,'2_LN_DadosExportados'!$A:$A,"X")+S33)/Y33)*$D33,"")</f>
        <v>0.16802386071998332</v>
      </c>
      <c r="G33" s="181">
        <f>IFERROR(((SUMIFS('2_LN_DadosExportados'!AN:AN,'2_LN_DadosExportados'!$V:$V,$C33,'2_LN_DadosExportados'!$A:$A,"X")+T33)/Z33)*$D33,"")</f>
        <v>0.14140877422390116</v>
      </c>
      <c r="H33" s="181">
        <f>IFERROR(((SUMIFS('2_LN_DadosExportados'!AO:AO,'2_LN_DadosExportados'!$V:$V,$C33,'2_LN_DadosExportados'!$A:$A,"X")+U33)/AA33)*$D33,"")</f>
        <v>0.13241031397903108</v>
      </c>
      <c r="I33" s="181">
        <f>IFERROR(((SUMIFS('2_LN_DadosExportados'!AP:AP,'2_LN_DadosExportados'!$V:$V,$C33,'2_LN_DadosExportados'!$A:$A,"X")+V33)/AB33)*$D33,"")</f>
        <v>0.12342537147926369</v>
      </c>
      <c r="J33" s="181">
        <f>IFERROR(((SUMIFS('2_LN_DadosExportados'!AQ:AQ,'2_LN_DadosExportados'!$V:$V,$C33,'2_LN_DadosExportados'!$A:$A,"X")+W33)/AC33)*$D33,"")</f>
        <v>0.11700635411300017</v>
      </c>
      <c r="K33" s="179">
        <f t="shared" si="35"/>
        <v>0.3393242666782349</v>
      </c>
      <c r="L33" s="179">
        <f t="shared" si="36"/>
        <v>0.16802386071998332</v>
      </c>
      <c r="M33" s="179">
        <f t="shared" si="37"/>
        <v>0.14140877422390116</v>
      </c>
      <c r="N33" s="179">
        <f t="shared" si="38"/>
        <v>0.13241031397903108</v>
      </c>
      <c r="O33" s="179">
        <f t="shared" si="39"/>
        <v>0.12342537147926369</v>
      </c>
      <c r="P33" s="179">
        <f t="shared" si="40"/>
        <v>0.11700635411300017</v>
      </c>
      <c r="Q33" s="162">
        <v>75</v>
      </c>
      <c r="R33" s="163">
        <v>1173.29</v>
      </c>
      <c r="S33" s="163">
        <v>545.04</v>
      </c>
      <c r="T33" s="163">
        <v>510.97</v>
      </c>
      <c r="U33" s="163">
        <v>477.7</v>
      </c>
      <c r="V33" s="163">
        <v>445.22</v>
      </c>
      <c r="W33" s="163">
        <v>425.83</v>
      </c>
      <c r="X33" s="164">
        <f t="shared" si="17"/>
        <v>3457.7250000000004</v>
      </c>
      <c r="Y33" s="164">
        <f t="shared" si="18"/>
        <v>3243.8250000000003</v>
      </c>
      <c r="Z33" s="164">
        <f t="shared" si="19"/>
        <v>3613.4249999999997</v>
      </c>
      <c r="AA33" s="164">
        <f t="shared" si="20"/>
        <v>3607.7250000000004</v>
      </c>
      <c r="AB33" s="164">
        <f t="shared" si="21"/>
        <v>3607.2000000000003</v>
      </c>
      <c r="AC33" s="164">
        <f t="shared" si="22"/>
        <v>3639.375</v>
      </c>
      <c r="AD33" s="165">
        <v>4610.3</v>
      </c>
      <c r="AE33" s="165">
        <v>4325.1000000000004</v>
      </c>
      <c r="AF33" s="165">
        <v>4817.8999999999996</v>
      </c>
      <c r="AG33" s="165">
        <v>4810.3</v>
      </c>
      <c r="AH33" s="165">
        <v>4809.6000000000004</v>
      </c>
      <c r="AI33" s="165">
        <v>4852.5</v>
      </c>
      <c r="AJ33" s="166">
        <v>3126757</v>
      </c>
      <c r="AK33" s="166">
        <v>953463</v>
      </c>
      <c r="AL33" s="166">
        <v>858135</v>
      </c>
      <c r="AM33" s="166">
        <v>762807</v>
      </c>
      <c r="AN33" s="166">
        <v>667479</v>
      </c>
      <c r="AO33" s="166">
        <v>619815</v>
      </c>
      <c r="AP33" s="2" t="str">
        <f>IFERROR(VLOOKUP(C33,'2_LN_DadosExportados'!V:V,1,FALSE),"")</f>
        <v/>
      </c>
      <c r="AQ33" t="str" cm="1">
        <f t="array" ref="AQ33">IF(AND(ISERR(FIND("sim",INDEX('existencia de wc'!K$2:K$193,MATCH('3_Industrial_Plan_Idash'!C33,'existencia de wc'!B$2:B$192,0))))=FALSE,SUMPRODUCT(('2_LN_DadosExportados'!V$2:V$314='3_Industrial_Plan_Idash'!C33)*('2_LN_DadosExportados'!A$2:A$314="X"))&gt;0), "MOSTRAR","")</f>
        <v/>
      </c>
    </row>
    <row r="34" spans="1:43" ht="15.75" hidden="1" thickBot="1" x14ac:dyDescent="0.3">
      <c r="A34" s="153" t="str">
        <f t="shared" si="10"/>
        <v>OK</v>
      </c>
      <c r="B34" s="161" t="s">
        <v>750</v>
      </c>
      <c r="C34" s="161" t="s">
        <v>123</v>
      </c>
      <c r="D34" s="186">
        <v>1</v>
      </c>
      <c r="E34" s="181">
        <f>IFERROR(((SUMIFS('2_LN_DadosExportados'!AL:AL,'2_LN_DadosExportados'!$V:$V,$C34,'2_LN_DadosExportados'!$A:$A,"X")+R34)/X34)*$D34,"")</f>
        <v>0.2948524148871296</v>
      </c>
      <c r="F34" s="181">
        <f>IFERROR(((SUMIFS('2_LN_DadosExportados'!AM:AM,'2_LN_DadosExportados'!$V:$V,$C34,'2_LN_DadosExportados'!$A:$A,"X")+S34)/Y34)*$D34,"")</f>
        <v>0.33324765017333841</v>
      </c>
      <c r="G34" s="181">
        <f>IFERROR(((SUMIFS('2_LN_DadosExportados'!AN:AN,'2_LN_DadosExportados'!$V:$V,$C34,'2_LN_DadosExportados'!$A:$A,"X")+T34)/Z34)*$D34,"")</f>
        <v>0.28853011020681235</v>
      </c>
      <c r="H34" s="181">
        <f>IFERROR(((SUMIFS('2_LN_DadosExportados'!AO:AO,'2_LN_DadosExportados'!$V:$V,$C34,'2_LN_DadosExportados'!$A:$A,"X")+U34)/AA34)*$D34,"")</f>
        <v>0.28350194619144459</v>
      </c>
      <c r="I34" s="181">
        <f>IFERROR(((SUMIFS('2_LN_DadosExportados'!AP:AP,'2_LN_DadosExportados'!$V:$V,$C34,'2_LN_DadosExportados'!$A:$A,"X")+V34)/AB34)*$D34,"")</f>
        <v>0.28009638009993976</v>
      </c>
      <c r="J34" s="181">
        <f>IFERROR(((SUMIFS('2_LN_DadosExportados'!AQ:AQ,'2_LN_DadosExportados'!$V:$V,$C34,'2_LN_DadosExportados'!$A:$A,"X")+W34)/AC34)*$D34,"")</f>
        <v>0.27318536613851363</v>
      </c>
      <c r="K34" s="179">
        <f t="shared" si="35"/>
        <v>0.2948524148871296</v>
      </c>
      <c r="L34" s="179">
        <f t="shared" si="36"/>
        <v>0.33324765017333841</v>
      </c>
      <c r="M34" s="179">
        <f t="shared" si="37"/>
        <v>0.28853011020681235</v>
      </c>
      <c r="N34" s="179">
        <f t="shared" si="38"/>
        <v>0.28350194619144459</v>
      </c>
      <c r="O34" s="179">
        <f t="shared" si="39"/>
        <v>0.28009638009993976</v>
      </c>
      <c r="P34" s="179">
        <f t="shared" si="40"/>
        <v>0.27318536613851363</v>
      </c>
      <c r="Q34" s="162">
        <v>85</v>
      </c>
      <c r="R34" s="163">
        <v>1085.48</v>
      </c>
      <c r="S34" s="163">
        <v>1225.1300000000001</v>
      </c>
      <c r="T34" s="163">
        <v>1177.3499999999999</v>
      </c>
      <c r="U34" s="163">
        <v>1159.17</v>
      </c>
      <c r="V34" s="163">
        <v>1140.96</v>
      </c>
      <c r="W34" s="163">
        <v>1122.77</v>
      </c>
      <c r="X34" s="164">
        <f t="shared" si="17"/>
        <v>3681.4350000000004</v>
      </c>
      <c r="Y34" s="164">
        <f t="shared" si="18"/>
        <v>3676.335</v>
      </c>
      <c r="Z34" s="164">
        <f t="shared" si="19"/>
        <v>4080.51</v>
      </c>
      <c r="AA34" s="164">
        <f t="shared" si="20"/>
        <v>4088.7550000000001</v>
      </c>
      <c r="AB34" s="164">
        <f t="shared" si="21"/>
        <v>4073.4549999999999</v>
      </c>
      <c r="AC34" s="164">
        <f t="shared" si="22"/>
        <v>4109.92</v>
      </c>
      <c r="AD34" s="165">
        <v>4331.1000000000004</v>
      </c>
      <c r="AE34" s="165">
        <v>4325.1000000000004</v>
      </c>
      <c r="AF34" s="165">
        <v>4800.6000000000004</v>
      </c>
      <c r="AG34" s="165">
        <v>4810.3</v>
      </c>
      <c r="AH34" s="165">
        <v>4792.3</v>
      </c>
      <c r="AI34" s="165">
        <v>4835.2</v>
      </c>
      <c r="AJ34" s="166">
        <v>2252652</v>
      </c>
      <c r="AK34" s="166">
        <v>2417575</v>
      </c>
      <c r="AL34" s="166">
        <v>2393575</v>
      </c>
      <c r="AM34" s="166">
        <v>2393575</v>
      </c>
      <c r="AN34" s="166">
        <v>2393575</v>
      </c>
      <c r="AO34" s="166">
        <v>2393575</v>
      </c>
      <c r="AP34" s="2" t="str">
        <f>IFERROR(VLOOKUP(C34,'2_LN_DadosExportados'!V:V,1,FALSE),"")</f>
        <v/>
      </c>
      <c r="AQ34" t="str" cm="1">
        <f t="array" ref="AQ34">IF(AND(ISERR(FIND("sim",INDEX('existencia de wc'!K$2:K$193,MATCH('3_Industrial_Plan_Idash'!C34,'existencia de wc'!B$2:B$192,0))))=FALSE,SUMPRODUCT(('2_LN_DadosExportados'!V$2:V$314='3_Industrial_Plan_Idash'!C34)*('2_LN_DadosExportados'!A$2:A$314="X"))&gt;0), "MOSTRAR","")</f>
        <v/>
      </c>
    </row>
    <row r="35" spans="1:43" ht="15.75" hidden="1" thickBot="1" x14ac:dyDescent="0.3">
      <c r="A35" s="153" t="str">
        <f t="shared" si="10"/>
        <v>OK</v>
      </c>
      <c r="B35" s="161" t="s">
        <v>751</v>
      </c>
      <c r="C35" s="161" t="s">
        <v>102</v>
      </c>
      <c r="D35" s="186">
        <v>2</v>
      </c>
      <c r="E35" s="181">
        <f>IFERROR(((SUMIFS('2_LN_DadosExportados'!AL:AL,'2_LN_DadosExportados'!$V:$V,$C35,'2_LN_DadosExportados'!$A:$A,"X")+R35)/X35)*$D35,"")</f>
        <v>1.2138690483466363</v>
      </c>
      <c r="F35" s="181">
        <f>IFERROR(((SUMIFS('2_LN_DadosExportados'!AM:AM,'2_LN_DadosExportados'!$V:$V,$C35,'2_LN_DadosExportados'!$A:$A,"X")+S35)/Y35)*$D35,"")</f>
        <v>0.99811905063058726</v>
      </c>
      <c r="G35" s="181">
        <f>IFERROR(((SUMIFS('2_LN_DadosExportados'!AN:AN,'2_LN_DadosExportados'!$V:$V,$C35,'2_LN_DadosExportados'!$A:$A,"X")+T35)/Z35)*$D35,"")</f>
        <v>0.9628869920671681</v>
      </c>
      <c r="H35" s="181">
        <f>IFERROR(((SUMIFS('2_LN_DadosExportados'!AO:AO,'2_LN_DadosExportados'!$V:$V,$C35,'2_LN_DadosExportados'!$A:$A,"X")+U35)/AA35)*$D35,"")</f>
        <v>1.02205928210421</v>
      </c>
      <c r="I35" s="181">
        <f>IFERROR(((SUMIFS('2_LN_DadosExportados'!AP:AP,'2_LN_DadosExportados'!$V:$V,$C35,'2_LN_DadosExportados'!$A:$A,"X")+V35)/AB35)*$D35,"")</f>
        <v>1.0848481203302847</v>
      </c>
      <c r="J35" s="181">
        <f>IFERROR(((SUMIFS('2_LN_DadosExportados'!AQ:AQ,'2_LN_DadosExportados'!$V:$V,$C35,'2_LN_DadosExportados'!$A:$A,"X")+W35)/AC35)*$D35,"")</f>
        <v>1.1589714641647526</v>
      </c>
      <c r="K35" s="179">
        <f t="shared" si="35"/>
        <v>1.2138690483466363</v>
      </c>
      <c r="L35" s="179">
        <f t="shared" si="36"/>
        <v>0.99811905063058726</v>
      </c>
      <c r="M35" s="179">
        <f t="shared" si="37"/>
        <v>0.9628869920671681</v>
      </c>
      <c r="N35" s="179">
        <f t="shared" si="38"/>
        <v>1.02205928210421</v>
      </c>
      <c r="O35" s="179">
        <f>IFERROR(V35/AB35*$D35,"")</f>
        <v>1.0848481203302847</v>
      </c>
      <c r="P35" s="179">
        <f t="shared" si="40"/>
        <v>1.1589714641647526</v>
      </c>
      <c r="Q35" s="162">
        <v>85</v>
      </c>
      <c r="R35" s="163">
        <v>4468.78</v>
      </c>
      <c r="S35" s="163">
        <v>3669.42</v>
      </c>
      <c r="T35" s="163">
        <v>3929.07</v>
      </c>
      <c r="U35" s="163">
        <v>4178.95</v>
      </c>
      <c r="V35" s="163">
        <v>4419.08</v>
      </c>
      <c r="W35" s="163">
        <v>4763.28</v>
      </c>
      <c r="X35" s="164">
        <f t="shared" si="17"/>
        <v>7362.8700000000008</v>
      </c>
      <c r="Y35" s="164">
        <f t="shared" si="18"/>
        <v>7352.67</v>
      </c>
      <c r="Z35" s="164">
        <f t="shared" si="19"/>
        <v>8161.02</v>
      </c>
      <c r="AA35" s="164">
        <f t="shared" si="20"/>
        <v>8177.51</v>
      </c>
      <c r="AB35" s="164">
        <f t="shared" si="21"/>
        <v>8146.91</v>
      </c>
      <c r="AC35" s="164">
        <f t="shared" si="22"/>
        <v>8219.84</v>
      </c>
      <c r="AD35" s="165">
        <v>8662.2000000000007</v>
      </c>
      <c r="AE35" s="165">
        <v>8650.2000000000007</v>
      </c>
      <c r="AF35" s="165">
        <v>9601.2000000000007</v>
      </c>
      <c r="AG35" s="165">
        <v>9620.6</v>
      </c>
      <c r="AH35" s="165">
        <v>9584.6</v>
      </c>
      <c r="AI35" s="165">
        <v>9670.4</v>
      </c>
      <c r="AJ35" s="166">
        <v>14926854</v>
      </c>
      <c r="AK35" s="166">
        <v>11244690</v>
      </c>
      <c r="AL35" s="166">
        <v>12652693</v>
      </c>
      <c r="AM35" s="166">
        <v>14060704</v>
      </c>
      <c r="AN35" s="166">
        <v>15468707</v>
      </c>
      <c r="AO35" s="166">
        <v>17397023</v>
      </c>
      <c r="AP35" s="2" t="str">
        <f>IFERROR(VLOOKUP(C35,'2_LN_DadosExportados'!V:V,1,FALSE),"")</f>
        <v/>
      </c>
      <c r="AQ35" t="str" cm="1">
        <f t="array" ref="AQ35">IF(AND(ISERR(FIND("sim",INDEX('existencia de wc'!K$2:K$193,MATCH('3_Industrial_Plan_Idash'!C35,'existencia de wc'!B$2:B$192,0))))=FALSE,SUMPRODUCT(('2_LN_DadosExportados'!V$2:V$314='3_Industrial_Plan_Idash'!C35)*('2_LN_DadosExportados'!A$2:A$314="X"))&gt;0), "MOSTRAR","")</f>
        <v/>
      </c>
    </row>
    <row r="36" spans="1:43" ht="15.75" hidden="1" thickBot="1" x14ac:dyDescent="0.3">
      <c r="A36" s="153" t="str">
        <f t="shared" si="10"/>
        <v>OK</v>
      </c>
      <c r="B36" s="161" t="s">
        <v>752</v>
      </c>
      <c r="C36" s="161" t="s">
        <v>753</v>
      </c>
      <c r="D36" s="186">
        <v>1</v>
      </c>
      <c r="E36" s="181">
        <f>IFERROR(((SUMIFS('2_LN_DadosExportados'!AL:AL,'2_LN_DadosExportados'!$V:$V,$C36,'2_LN_DadosExportados'!$A:$A,"X")+R36)/X36)*$D36,"")</f>
        <v>0.12314880618972096</v>
      </c>
      <c r="F36" s="181">
        <f>IFERROR(((SUMIFS('2_LN_DadosExportados'!AM:AM,'2_LN_DadosExportados'!$V:$V,$C36,'2_LN_DadosExportados'!$A:$A,"X")+S36)/Y36)*$D36,"")</f>
        <v>5.9105059794605223E-2</v>
      </c>
      <c r="G36" s="181">
        <f>IFERROR(((SUMIFS('2_LN_DadosExportados'!AN:AN,'2_LN_DadosExportados'!$V:$V,$C36,'2_LN_DadosExportados'!$A:$A,"X")+T36)/Z36)*$D36,"")</f>
        <v>4.9740978190400263E-2</v>
      </c>
      <c r="H36" s="181">
        <f>IFERROR(((SUMIFS('2_LN_DadosExportados'!AO:AO,'2_LN_DadosExportados'!$V:$V,$C36,'2_LN_DadosExportados'!$A:$A,"X")+U36)/AA36)*$D36,"")</f>
        <v>4.6576525128064657E-2</v>
      </c>
      <c r="I36" s="181">
        <f>IFERROR(((SUMIFS('2_LN_DadosExportados'!AP:AP,'2_LN_DadosExportados'!$V:$V,$C36,'2_LN_DadosExportados'!$A:$A,"X")+V36)/AB36)*$D36,"")</f>
        <v>4.3415619740910336E-2</v>
      </c>
      <c r="J36" s="181">
        <f>IFERROR(((SUMIFS('2_LN_DadosExportados'!AQ:AQ,'2_LN_DadosExportados'!$V:$V,$C36,'2_LN_DadosExportados'!$A:$A,"X")+W36)/AC36)*$D36,"")</f>
        <v>4.1157681001303147E-2</v>
      </c>
      <c r="K36" s="179">
        <f t="shared" si="35"/>
        <v>0.12314880618972096</v>
      </c>
      <c r="L36" s="179">
        <f t="shared" si="36"/>
        <v>5.9105059794605223E-2</v>
      </c>
      <c r="M36" s="179">
        <f t="shared" si="37"/>
        <v>4.9740978190400263E-2</v>
      </c>
      <c r="N36" s="179">
        <f t="shared" si="38"/>
        <v>4.6576525128064657E-2</v>
      </c>
      <c r="O36" s="179">
        <f t="shared" si="39"/>
        <v>4.3415619740910336E-2</v>
      </c>
      <c r="P36" s="179">
        <f t="shared" si="40"/>
        <v>4.1157681001303147E-2</v>
      </c>
      <c r="Q36" s="162">
        <v>85</v>
      </c>
      <c r="R36" s="163">
        <v>482.59</v>
      </c>
      <c r="S36" s="163">
        <v>217.29</v>
      </c>
      <c r="T36" s="163">
        <v>203.7</v>
      </c>
      <c r="U36" s="163">
        <v>190.44</v>
      </c>
      <c r="V36" s="163">
        <v>177.49</v>
      </c>
      <c r="W36" s="163">
        <v>169.76</v>
      </c>
      <c r="X36" s="164">
        <f t="shared" si="17"/>
        <v>3918.7550000000001</v>
      </c>
      <c r="Y36" s="164">
        <f t="shared" si="18"/>
        <v>3676.335</v>
      </c>
      <c r="Z36" s="164">
        <f t="shared" si="19"/>
        <v>4095.2149999999997</v>
      </c>
      <c r="AA36" s="164">
        <f t="shared" si="20"/>
        <v>4088.7550000000001</v>
      </c>
      <c r="AB36" s="164">
        <f t="shared" si="21"/>
        <v>4088.1600000000003</v>
      </c>
      <c r="AC36" s="164">
        <f t="shared" si="22"/>
        <v>4124.625</v>
      </c>
      <c r="AD36" s="165">
        <v>4610.3</v>
      </c>
      <c r="AE36" s="165">
        <v>4325.1000000000004</v>
      </c>
      <c r="AF36" s="165">
        <v>4817.8999999999996</v>
      </c>
      <c r="AG36" s="165">
        <v>4810.3</v>
      </c>
      <c r="AH36" s="165">
        <v>4809.6000000000004</v>
      </c>
      <c r="AI36" s="165">
        <v>4852.5</v>
      </c>
      <c r="AJ36" s="166">
        <v>3126757</v>
      </c>
      <c r="AK36" s="166">
        <v>953463</v>
      </c>
      <c r="AL36" s="166">
        <v>858135</v>
      </c>
      <c r="AM36" s="166">
        <v>762807</v>
      </c>
      <c r="AN36" s="166">
        <v>667479</v>
      </c>
      <c r="AO36" s="166">
        <v>619815</v>
      </c>
      <c r="AP36" s="2" t="str">
        <f>IFERROR(VLOOKUP(C36,'2_LN_DadosExportados'!V:V,1,FALSE),"")</f>
        <v/>
      </c>
      <c r="AQ36" t="str" cm="1">
        <f t="array" ref="AQ36">IF(AND(ISERR(FIND("sim",INDEX('existencia de wc'!K$2:K$193,MATCH('3_Industrial_Plan_Idash'!C36,'existencia de wc'!B$2:B$192,0))))=FALSE,SUMPRODUCT(('2_LN_DadosExportados'!V$2:V$314='3_Industrial_Plan_Idash'!C36)*('2_LN_DadosExportados'!A$2:A$314="X"))&gt;0), "MOSTRAR","")</f>
        <v/>
      </c>
    </row>
    <row r="37" spans="1:43" ht="15.75" hidden="1" thickBot="1" x14ac:dyDescent="0.3">
      <c r="A37" s="153" t="str">
        <f t="shared" si="10"/>
        <v>OK</v>
      </c>
      <c r="B37" s="161" t="s">
        <v>754</v>
      </c>
      <c r="C37" s="161" t="s">
        <v>755</v>
      </c>
      <c r="D37" s="186">
        <v>1</v>
      </c>
      <c r="E37" s="181">
        <f>IFERROR(((SUMIFS('2_LN_DadosExportados'!AL:AL,'2_LN_DadosExportados'!$V:$V,$C37,'2_LN_DadosExportados'!$A:$A,"X")+R37)/X37)*$D37,"")</f>
        <v>0.73508982395605826</v>
      </c>
      <c r="F37" s="181">
        <f>IFERROR(((SUMIFS('2_LN_DadosExportados'!AM:AM,'2_LN_DadosExportados'!$V:$V,$C37,'2_LN_DadosExportados'!$A:$A,"X")+S37)/Y37)*$D37,"")</f>
        <v>0.19415469273276026</v>
      </c>
      <c r="G37" s="181">
        <f>IFERROR(((SUMIFS('2_LN_DadosExportados'!AN:AN,'2_LN_DadosExportados'!$V:$V,$C37,'2_LN_DadosExportados'!$A:$A,"X")+T37)/Z37)*$D37,"")</f>
        <v>0.14523723230836288</v>
      </c>
      <c r="H37" s="181">
        <f>IFERROR(((SUMIFS('2_LN_DadosExportados'!AO:AO,'2_LN_DadosExportados'!$V:$V,$C37,'2_LN_DadosExportados'!$A:$A,"X")+U37)/AA37)*$D37,"")</f>
        <v>0.11717804262967765</v>
      </c>
      <c r="I37" s="181">
        <f>IFERROR(((SUMIFS('2_LN_DadosExportados'!AP:AP,'2_LN_DadosExportados'!$V:$V,$C37,'2_LN_DadosExportados'!$A:$A,"X")+V37)/AB37)*$D37,"")</f>
        <v>8.9717999897640621E-2</v>
      </c>
      <c r="J37" s="181">
        <f>IFERROR(((SUMIFS('2_LN_DadosExportados'!AQ:AQ,'2_LN_DadosExportados'!$V:$V,$C37,'2_LN_DadosExportados'!$A:$A,"X")+W37)/AC37)*$D37,"")</f>
        <v>7.5006539055998106E-2</v>
      </c>
      <c r="K37" s="179">
        <f t="shared" si="35"/>
        <v>0.73508982395605826</v>
      </c>
      <c r="L37" s="179">
        <f t="shared" si="36"/>
        <v>0.19415469273276026</v>
      </c>
      <c r="M37" s="179">
        <f t="shared" si="37"/>
        <v>0.14523723230836288</v>
      </c>
      <c r="N37" s="179">
        <f t="shared" si="38"/>
        <v>0.11717804262967765</v>
      </c>
      <c r="O37" s="179">
        <f t="shared" si="39"/>
        <v>8.9717999897640621E-2</v>
      </c>
      <c r="P37" s="179">
        <f t="shared" si="40"/>
        <v>7.5006539055998106E-2</v>
      </c>
      <c r="Q37" s="162">
        <v>65</v>
      </c>
      <c r="R37" s="163">
        <v>2202.84</v>
      </c>
      <c r="S37" s="163">
        <v>545.83000000000004</v>
      </c>
      <c r="T37" s="163">
        <v>454.83</v>
      </c>
      <c r="U37" s="163">
        <v>366.38</v>
      </c>
      <c r="V37" s="163">
        <v>280.48</v>
      </c>
      <c r="W37" s="163">
        <v>236.58</v>
      </c>
      <c r="X37" s="164">
        <f t="shared" si="17"/>
        <v>2996.6950000000002</v>
      </c>
      <c r="Y37" s="164">
        <f t="shared" si="18"/>
        <v>2811.3150000000005</v>
      </c>
      <c r="Z37" s="164">
        <f t="shared" si="19"/>
        <v>3131.6349999999998</v>
      </c>
      <c r="AA37" s="164">
        <f t="shared" si="20"/>
        <v>3126.6950000000002</v>
      </c>
      <c r="AB37" s="164">
        <f t="shared" si="21"/>
        <v>3126.2400000000002</v>
      </c>
      <c r="AC37" s="164">
        <f t="shared" si="22"/>
        <v>3154.125</v>
      </c>
      <c r="AD37" s="165">
        <v>4610.3</v>
      </c>
      <c r="AE37" s="165">
        <v>4325.1000000000004</v>
      </c>
      <c r="AF37" s="165">
        <v>4817.8999999999996</v>
      </c>
      <c r="AG37" s="165">
        <v>4810.3</v>
      </c>
      <c r="AH37" s="165">
        <v>4809.6000000000004</v>
      </c>
      <c r="AI37" s="165">
        <v>4852.5</v>
      </c>
      <c r="AJ37" s="166">
        <v>2812488</v>
      </c>
      <c r="AK37" s="166">
        <v>698228</v>
      </c>
      <c r="AL37" s="166">
        <v>590808</v>
      </c>
      <c r="AM37" s="166">
        <v>483389</v>
      </c>
      <c r="AN37" s="166">
        <v>375969</v>
      </c>
      <c r="AO37" s="166">
        <v>322259</v>
      </c>
      <c r="AP37" s="2" t="str">
        <f>IFERROR(VLOOKUP(C37,'2_LN_DadosExportados'!V:V,1,FALSE),"")</f>
        <v/>
      </c>
      <c r="AQ37" t="str" cm="1">
        <f t="array" ref="AQ37">IF(AND(ISERR(FIND("sim",INDEX('existencia de wc'!K$2:K$193,MATCH('3_Industrial_Plan_Idash'!C37,'existencia de wc'!B$2:B$192,0))))=FALSE,SUMPRODUCT(('2_LN_DadosExportados'!V$2:V$314='3_Industrial_Plan_Idash'!C37)*('2_LN_DadosExportados'!A$2:A$314="X"))&gt;0), "MOSTRAR","")</f>
        <v/>
      </c>
    </row>
    <row r="38" spans="1:43" ht="15.75" hidden="1" thickBot="1" x14ac:dyDescent="0.3">
      <c r="A38" s="153" t="str">
        <f t="shared" si="10"/>
        <v>OK</v>
      </c>
      <c r="B38" s="161" t="s">
        <v>756</v>
      </c>
      <c r="C38" s="161" t="s">
        <v>757</v>
      </c>
      <c r="D38" s="186">
        <v>1</v>
      </c>
      <c r="E38" s="181">
        <f>IFERROR(((SUMIFS('2_LN_DadosExportados'!AL:AL,'2_LN_DadosExportados'!$V:$V,$C38,'2_LN_DadosExportados'!$A:$A,"X")+R38)/X38)*$D38,"")</f>
        <v>0.42868129077175271</v>
      </c>
      <c r="F38" s="181">
        <f>IFERROR(((SUMIFS('2_LN_DadosExportados'!AM:AM,'2_LN_DadosExportados'!$V:$V,$C38,'2_LN_DadosExportados'!$A:$A,"X")+S38)/Y38)*$D38,"")</f>
        <v>0.37756352454278508</v>
      </c>
      <c r="G38" s="181">
        <f>IFERROR(((SUMIFS('2_LN_DadosExportados'!AN:AN,'2_LN_DadosExportados'!$V:$V,$C38,'2_LN_DadosExportados'!$A:$A,"X")+T38)/Z38)*$D38,"")</f>
        <v>0.33498376805463415</v>
      </c>
      <c r="H38" s="181">
        <f>IFERROR(((SUMIFS('2_LN_DadosExportados'!AO:AO,'2_LN_DadosExportados'!$V:$V,$C38,'2_LN_DadosExportados'!$A:$A,"X")+U38)/AA38)*$D38,"")</f>
        <v>0.32913987453205379</v>
      </c>
      <c r="I38" s="181">
        <f>IFERROR(((SUMIFS('2_LN_DadosExportados'!AP:AP,'2_LN_DadosExportados'!$V:$V,$C38,'2_LN_DadosExportados'!$A:$A,"X")+V38)/AB38)*$D38,"")</f>
        <v>0.32518190237865546</v>
      </c>
      <c r="J38" s="181">
        <f>IFERROR(((SUMIFS('2_LN_DadosExportados'!AQ:AQ,'2_LN_DadosExportados'!$V:$V,$C38,'2_LN_DadosExportados'!$A:$A,"X")+W38)/AC38)*$D38,"")</f>
        <v>0.31715814794074221</v>
      </c>
      <c r="K38" s="179">
        <f t="shared" si="35"/>
        <v>0.42868129077175271</v>
      </c>
      <c r="L38" s="179">
        <f t="shared" si="36"/>
        <v>0.37756352454278508</v>
      </c>
      <c r="M38" s="179">
        <f t="shared" si="37"/>
        <v>0.33498376805463415</v>
      </c>
      <c r="N38" s="179">
        <f t="shared" si="38"/>
        <v>0.32913987453205379</v>
      </c>
      <c r="O38" s="179">
        <f t="shared" si="39"/>
        <v>0.32518190237865546</v>
      </c>
      <c r="P38" s="179">
        <f t="shared" si="40"/>
        <v>0.31715814794074221</v>
      </c>
      <c r="Q38" s="162">
        <v>65</v>
      </c>
      <c r="R38" s="163">
        <v>1206.83</v>
      </c>
      <c r="S38" s="163">
        <v>1061.45</v>
      </c>
      <c r="T38" s="163">
        <v>1045.28</v>
      </c>
      <c r="U38" s="163">
        <v>1029.1199999999999</v>
      </c>
      <c r="V38" s="163">
        <v>1012.94</v>
      </c>
      <c r="W38" s="163">
        <v>996.79</v>
      </c>
      <c r="X38" s="164">
        <f t="shared" si="17"/>
        <v>2815.2150000000001</v>
      </c>
      <c r="Y38" s="164">
        <f t="shared" si="18"/>
        <v>2811.3150000000005</v>
      </c>
      <c r="Z38" s="164">
        <f t="shared" si="19"/>
        <v>3120.3900000000003</v>
      </c>
      <c r="AA38" s="164">
        <f t="shared" si="20"/>
        <v>3126.6950000000002</v>
      </c>
      <c r="AB38" s="164">
        <f t="shared" si="21"/>
        <v>3114.9950000000003</v>
      </c>
      <c r="AC38" s="164">
        <f t="shared" si="22"/>
        <v>3142.88</v>
      </c>
      <c r="AD38" s="165">
        <v>4331.1000000000004</v>
      </c>
      <c r="AE38" s="165">
        <v>4325.1000000000004</v>
      </c>
      <c r="AF38" s="165">
        <v>4800.6000000000004</v>
      </c>
      <c r="AG38" s="165">
        <v>4810.3</v>
      </c>
      <c r="AH38" s="165">
        <v>4792.3</v>
      </c>
      <c r="AI38" s="165">
        <v>4835.2</v>
      </c>
      <c r="AJ38" s="166">
        <v>4000101</v>
      </c>
      <c r="AK38" s="166">
        <v>3636605</v>
      </c>
      <c r="AL38" s="166">
        <v>3636605</v>
      </c>
      <c r="AM38" s="166">
        <v>3636605</v>
      </c>
      <c r="AN38" s="166">
        <v>3636605</v>
      </c>
      <c r="AO38" s="166">
        <v>3636605</v>
      </c>
      <c r="AP38" s="2" t="str">
        <f>IFERROR(VLOOKUP(C38,'2_LN_DadosExportados'!V:V,1,FALSE),"")</f>
        <v/>
      </c>
      <c r="AQ38" t="str" cm="1">
        <f t="array" ref="AQ38">IF(AND(ISERR(FIND("sim",INDEX('existencia de wc'!K$2:K$193,MATCH('3_Industrial_Plan_Idash'!C38,'existencia de wc'!B$2:B$192,0))))=FALSE,SUMPRODUCT(('2_LN_DadosExportados'!V$2:V$314='3_Industrial_Plan_Idash'!C38)*('2_LN_DadosExportados'!A$2:A$314="X"))&gt;0), "MOSTRAR","")</f>
        <v/>
      </c>
    </row>
    <row r="39" spans="1:43" ht="15.75" hidden="1" thickBot="1" x14ac:dyDescent="0.3">
      <c r="A39" s="153" t="str">
        <f t="shared" si="10"/>
        <v>OK</v>
      </c>
      <c r="B39" s="161" t="s">
        <v>758</v>
      </c>
      <c r="C39" s="161" t="s">
        <v>759</v>
      </c>
      <c r="D39" s="186">
        <v>1</v>
      </c>
      <c r="E39" s="181">
        <f>IFERROR(((SUMIFS('2_LN_DadosExportados'!AL:AL,'2_LN_DadosExportados'!$V:$V,$C39,'2_LN_DadosExportados'!$A:$A,"X")+R39)/X39)*$D39,"")</f>
        <v>0.24052831536075575</v>
      </c>
      <c r="F39" s="181">
        <f>IFERROR(((SUMIFS('2_LN_DadosExportados'!AM:AM,'2_LN_DadosExportados'!$V:$V,$C39,'2_LN_DadosExportados'!$A:$A,"X")+S39)/Y39)*$D39,"")</f>
        <v>0.3084926449010516</v>
      </c>
      <c r="G39" s="181">
        <f>IFERROR(((SUMIFS('2_LN_DadosExportados'!AN:AN,'2_LN_DadosExportados'!$V:$V,$C39,'2_LN_DadosExportados'!$A:$A,"X")+T39)/Z39)*$D39,"")</f>
        <v>0.27272016055510939</v>
      </c>
      <c r="H39" s="181">
        <f>IFERROR(((SUMIFS('2_LN_DadosExportados'!AO:AO,'2_LN_DadosExportados'!$V:$V,$C39,'2_LN_DadosExportados'!$A:$A,"X")+U39)/AA39)*$D39,"")</f>
        <v>0.26892613446466634</v>
      </c>
      <c r="I39" s="181">
        <f>IFERROR(((SUMIFS('2_LN_DadosExportados'!AP:AP,'2_LN_DadosExportados'!$V:$V,$C39,'2_LN_DadosExportados'!$A:$A,"X")+V39)/AB39)*$D39,"")</f>
        <v>0.26473975126669735</v>
      </c>
      <c r="J39" s="181">
        <f>IFERROR(((SUMIFS('2_LN_DadosExportados'!AQ:AQ,'2_LN_DadosExportados'!$V:$V,$C39,'2_LN_DadosExportados'!$A:$A,"X")+W39)/AC39)*$D39,"")</f>
        <v>0.25821107280149008</v>
      </c>
      <c r="K39" s="179">
        <f t="shared" si="35"/>
        <v>0.24052831536075575</v>
      </c>
      <c r="L39" s="179">
        <f t="shared" si="36"/>
        <v>0.3084926449010516</v>
      </c>
      <c r="M39" s="179">
        <f t="shared" si="37"/>
        <v>0.27272016055510939</v>
      </c>
      <c r="N39" s="179">
        <f t="shared" si="38"/>
        <v>0.26892613446466634</v>
      </c>
      <c r="O39" s="179">
        <f t="shared" si="39"/>
        <v>0.26473975126669735</v>
      </c>
      <c r="P39" s="179">
        <f t="shared" si="40"/>
        <v>0.25821107280149008</v>
      </c>
      <c r="Q39" s="162">
        <v>65</v>
      </c>
      <c r="R39" s="163">
        <v>720.79</v>
      </c>
      <c r="S39" s="163">
        <v>867.27</v>
      </c>
      <c r="T39" s="163">
        <v>854.06</v>
      </c>
      <c r="U39" s="163">
        <v>840.85</v>
      </c>
      <c r="V39" s="163">
        <v>827.64</v>
      </c>
      <c r="W39" s="163">
        <v>814.43</v>
      </c>
      <c r="X39" s="164">
        <f t="shared" si="17"/>
        <v>2996.6950000000002</v>
      </c>
      <c r="Y39" s="164">
        <f t="shared" si="18"/>
        <v>2811.3150000000005</v>
      </c>
      <c r="Z39" s="164">
        <f t="shared" si="19"/>
        <v>3131.6349999999998</v>
      </c>
      <c r="AA39" s="164">
        <f t="shared" si="20"/>
        <v>3126.6950000000002</v>
      </c>
      <c r="AB39" s="164">
        <f t="shared" si="21"/>
        <v>3126.2400000000002</v>
      </c>
      <c r="AC39" s="164">
        <f t="shared" si="22"/>
        <v>3154.125</v>
      </c>
      <c r="AD39" s="165">
        <v>4610.3</v>
      </c>
      <c r="AE39" s="165">
        <v>4325.1000000000004</v>
      </c>
      <c r="AF39" s="165">
        <v>4817.8999999999996</v>
      </c>
      <c r="AG39" s="165">
        <v>4810.3</v>
      </c>
      <c r="AH39" s="165">
        <v>4809.6000000000004</v>
      </c>
      <c r="AI39" s="165">
        <v>4852.5</v>
      </c>
      <c r="AJ39" s="166">
        <v>849789</v>
      </c>
      <c r="AK39" s="166">
        <v>1053756</v>
      </c>
      <c r="AL39" s="166">
        <v>1053756</v>
      </c>
      <c r="AM39" s="166">
        <v>1053756</v>
      </c>
      <c r="AN39" s="166">
        <v>1053756</v>
      </c>
      <c r="AO39" s="166">
        <v>1053756</v>
      </c>
      <c r="AP39" s="2" t="str">
        <f>IFERROR(VLOOKUP(C39,'2_LN_DadosExportados'!V:V,1,FALSE),"")</f>
        <v/>
      </c>
      <c r="AQ39" t="str" cm="1">
        <f t="array" ref="AQ39">IF(AND(ISERR(FIND("sim",INDEX('existencia de wc'!K$2:K$193,MATCH('3_Industrial_Plan_Idash'!C39,'existencia de wc'!B$2:B$192,0))))=FALSE,SUMPRODUCT(('2_LN_DadosExportados'!V$2:V$314='3_Industrial_Plan_Idash'!C39)*('2_LN_DadosExportados'!A$2:A$314="X"))&gt;0), "MOSTRAR","")</f>
        <v/>
      </c>
    </row>
    <row r="40" spans="1:43" ht="15.75" hidden="1" thickBot="1" x14ac:dyDescent="0.3">
      <c r="A40" s="153" t="str">
        <f t="shared" si="10"/>
        <v>OK</v>
      </c>
      <c r="B40" s="161" t="s">
        <v>760</v>
      </c>
      <c r="C40" s="161" t="s">
        <v>761</v>
      </c>
      <c r="D40" s="186">
        <v>2</v>
      </c>
      <c r="E40" s="181">
        <f>IFERROR(((SUMIFS('2_LN_DadosExportados'!AL:AL,'2_LN_DadosExportados'!$V:$V,$C40,'2_LN_DadosExportados'!$A:$A,"X")+R40)/X40)*$D40,"")</f>
        <v>0.83600099442886233</v>
      </c>
      <c r="F40" s="181">
        <f>IFERROR(((SUMIFS('2_LN_DadosExportados'!AM:AM,'2_LN_DadosExportados'!$V:$V,$C40,'2_LN_DadosExportados'!$A:$A,"X")+S40)/Y40)*$D40,"")</f>
        <v>0.75675973699140775</v>
      </c>
      <c r="G40" s="181">
        <f>IFERROR(((SUMIFS('2_LN_DadosExportados'!AN:AN,'2_LN_DadosExportados'!$V:$V,$C40,'2_LN_DadosExportados'!$A:$A,"X")+T40)/Z40)*$D40,"")</f>
        <v>0.63082064161372575</v>
      </c>
      <c r="H40" s="181">
        <f>IFERROR(((SUMIFS('2_LN_DadosExportados'!AO:AO,'2_LN_DadosExportados'!$V:$V,$C40,'2_LN_DadosExportados'!$A:$A,"X")+U40)/AA40)*$D40,"")</f>
        <v>0.58438702847575474</v>
      </c>
      <c r="I40" s="181">
        <f>IFERROR(((SUMIFS('2_LN_DadosExportados'!AP:AP,'2_LN_DadosExportados'!$V:$V,$C40,'2_LN_DadosExportados'!$A:$A,"X")+V40)/AB40)*$D40,"")</f>
        <v>0.53823442857873993</v>
      </c>
      <c r="J40" s="181">
        <f>IFERROR(((SUMIFS('2_LN_DadosExportados'!AQ:AQ,'2_LN_DadosExportados'!$V:$V,$C40,'2_LN_DadosExportados'!$A:$A,"X")+W40)/AC40)*$D40,"")</f>
        <v>0.50688225736139181</v>
      </c>
      <c r="K40" s="179">
        <f t="shared" si="35"/>
        <v>0.83600099442886233</v>
      </c>
      <c r="L40" s="179">
        <f t="shared" si="36"/>
        <v>0.75675973699140775</v>
      </c>
      <c r="M40" s="179">
        <f t="shared" si="37"/>
        <v>0.63082064161372575</v>
      </c>
      <c r="N40" s="179">
        <f t="shared" si="38"/>
        <v>0.58438702847575474</v>
      </c>
      <c r="O40" s="179">
        <f t="shared" si="39"/>
        <v>0.53823442857873993</v>
      </c>
      <c r="P40" s="179">
        <f t="shared" si="40"/>
        <v>0.50688225736139181</v>
      </c>
      <c r="Q40" s="162">
        <v>65</v>
      </c>
      <c r="R40" s="163">
        <v>2505.2399999999998</v>
      </c>
      <c r="S40" s="163">
        <v>2127.4899999999998</v>
      </c>
      <c r="T40" s="163">
        <v>1975.5</v>
      </c>
      <c r="U40" s="163">
        <v>1827.2</v>
      </c>
      <c r="V40" s="163">
        <v>1682.65</v>
      </c>
      <c r="W40" s="163">
        <v>1598.77</v>
      </c>
      <c r="X40" s="164">
        <f t="shared" si="17"/>
        <v>5993.39</v>
      </c>
      <c r="Y40" s="164">
        <f t="shared" si="18"/>
        <v>5622.630000000001</v>
      </c>
      <c r="Z40" s="164">
        <f t="shared" si="19"/>
        <v>6263.2699999999995</v>
      </c>
      <c r="AA40" s="164">
        <f t="shared" si="20"/>
        <v>6253.39</v>
      </c>
      <c r="AB40" s="164">
        <f t="shared" si="21"/>
        <v>6252.4800000000005</v>
      </c>
      <c r="AC40" s="164">
        <f t="shared" si="22"/>
        <v>6308.25</v>
      </c>
      <c r="AD40" s="165">
        <v>9220.6</v>
      </c>
      <c r="AE40" s="165">
        <v>8650.2000000000007</v>
      </c>
      <c r="AF40" s="165">
        <v>9635.7999999999993</v>
      </c>
      <c r="AG40" s="165">
        <v>9620.6</v>
      </c>
      <c r="AH40" s="165">
        <v>9619.2000000000007</v>
      </c>
      <c r="AI40" s="165">
        <v>9705</v>
      </c>
      <c r="AJ40" s="166">
        <v>3208523</v>
      </c>
      <c r="AK40" s="166">
        <v>2624405</v>
      </c>
      <c r="AL40" s="166">
        <v>2430289</v>
      </c>
      <c r="AM40" s="166">
        <v>2236175</v>
      </c>
      <c r="AN40" s="166">
        <v>2042059</v>
      </c>
      <c r="AO40" s="166">
        <v>1945001</v>
      </c>
      <c r="AP40" s="2" t="str">
        <f>IFERROR(VLOOKUP(C40,'2_LN_DadosExportados'!V:V,1,FALSE),"")</f>
        <v/>
      </c>
      <c r="AQ40" t="str" cm="1">
        <f t="array" ref="AQ40">IF(AND(ISERR(FIND("sim",INDEX('existencia de wc'!K$2:K$193,MATCH('3_Industrial_Plan_Idash'!C40,'existencia de wc'!B$2:B$192,0))))=FALSE,SUMPRODUCT(('2_LN_DadosExportados'!V$2:V$314='3_Industrial_Plan_Idash'!C40)*('2_LN_DadosExportados'!A$2:A$314="X"))&gt;0), "MOSTRAR","")</f>
        <v/>
      </c>
    </row>
    <row r="41" spans="1:43" ht="15.75" hidden="1" thickBot="1" x14ac:dyDescent="0.3">
      <c r="A41" s="153" t="str">
        <f t="shared" si="10"/>
        <v>OK</v>
      </c>
      <c r="B41" s="161" t="s">
        <v>762</v>
      </c>
      <c r="C41" s="161" t="s">
        <v>763</v>
      </c>
      <c r="D41" s="186">
        <v>2</v>
      </c>
      <c r="E41" s="181">
        <f>IFERROR(((SUMIFS('2_LN_DadosExportados'!AL:AL,'2_LN_DadosExportados'!$V:$V,$C41,'2_LN_DadosExportados'!$A:$A,"X")+R41)/X41)*$D41,"")</f>
        <v>1.1723003394056934</v>
      </c>
      <c r="F41" s="181">
        <f>IFERROR(((SUMIFS('2_LN_DadosExportados'!AM:AM,'2_LN_DadosExportados'!$V:$V,$C41,'2_LN_DadosExportados'!$A:$A,"X")+S41)/Y41)*$D41,"")</f>
        <v>0.75594656770941715</v>
      </c>
      <c r="G41" s="181">
        <f>IFERROR(((SUMIFS('2_LN_DadosExportados'!AN:AN,'2_LN_DadosExportados'!$V:$V,$C41,'2_LN_DadosExportados'!$A:$A,"X")+T41)/Z41)*$D41,"")</f>
        <v>0.69832694524295569</v>
      </c>
      <c r="H41" s="181">
        <f>IFERROR(((SUMIFS('2_LN_DadosExportados'!AO:AO,'2_LN_DadosExportados'!$V:$V,$C41,'2_LN_DadosExportados'!$A:$A,"X")+U41)/AA41)*$D41,"")</f>
        <v>0.66889452494300428</v>
      </c>
      <c r="I41" s="181">
        <f>IFERROR(((SUMIFS('2_LN_DadosExportados'!AP:AP,'2_LN_DadosExportados'!$V:$V,$C41,'2_LN_DadosExportados'!$A:$A,"X")+V41)/AB41)*$D41,"")</f>
        <v>0.6726310957160444</v>
      </c>
      <c r="J41" s="181">
        <f>IFERROR(((SUMIFS('2_LN_DadosExportados'!AQ:AQ,'2_LN_DadosExportados'!$V:$V,$C41,'2_LN_DadosExportados'!$A:$A,"X")+W41)/AC41)*$D41,"")</f>
        <v>0.67654905691594969</v>
      </c>
      <c r="K41" s="179">
        <f t="shared" si="35"/>
        <v>1.1723003394056934</v>
      </c>
      <c r="L41" s="179">
        <f t="shared" si="36"/>
        <v>0.75594656770941715</v>
      </c>
      <c r="M41" s="179">
        <f t="shared" si="37"/>
        <v>0.69832694524295569</v>
      </c>
      <c r="N41" s="179">
        <f t="shared" si="38"/>
        <v>0.66889452494300428</v>
      </c>
      <c r="O41" s="179">
        <f t="shared" si="39"/>
        <v>0.6726310957160444</v>
      </c>
      <c r="P41" s="179">
        <f t="shared" si="40"/>
        <v>0.67654905691594969</v>
      </c>
      <c r="Q41" s="162">
        <v>60</v>
      </c>
      <c r="R41" s="163">
        <v>3046.41</v>
      </c>
      <c r="S41" s="163">
        <f>1795.06+166.6667</f>
        <v>1961.7266999999999</v>
      </c>
      <c r="T41" s="163">
        <f>1928.1+83.333</f>
        <v>2011.433</v>
      </c>
      <c r="U41" s="163">
        <v>1930.55</v>
      </c>
      <c r="V41" s="163">
        <v>1934.07</v>
      </c>
      <c r="W41" s="163">
        <v>1962.75</v>
      </c>
      <c r="X41" s="164">
        <f t="shared" si="17"/>
        <v>5197.3200000000006</v>
      </c>
      <c r="Y41" s="164">
        <f t="shared" si="18"/>
        <v>5190.12</v>
      </c>
      <c r="Z41" s="164">
        <f t="shared" si="19"/>
        <v>5760.72</v>
      </c>
      <c r="AA41" s="164">
        <f t="shared" si="20"/>
        <v>5772.36</v>
      </c>
      <c r="AB41" s="164">
        <f t="shared" si="21"/>
        <v>5750.76</v>
      </c>
      <c r="AC41" s="164">
        <f t="shared" si="22"/>
        <v>5802.24</v>
      </c>
      <c r="AD41" s="165">
        <v>8662.2000000000007</v>
      </c>
      <c r="AE41" s="165">
        <v>8650.2000000000007</v>
      </c>
      <c r="AF41" s="165">
        <v>9601.2000000000007</v>
      </c>
      <c r="AG41" s="165">
        <v>9620.6</v>
      </c>
      <c r="AH41" s="165">
        <v>9584.6</v>
      </c>
      <c r="AI41" s="165">
        <v>9670.4</v>
      </c>
      <c r="AJ41" s="166">
        <v>2949201</v>
      </c>
      <c r="AK41" s="166">
        <v>2009640</v>
      </c>
      <c r="AL41" s="166">
        <v>2097818</v>
      </c>
      <c r="AM41" s="166">
        <v>2090676</v>
      </c>
      <c r="AN41" s="166">
        <v>2085092</v>
      </c>
      <c r="AO41" s="166">
        <v>2115589</v>
      </c>
      <c r="AP41" s="2" t="str">
        <f>IFERROR(VLOOKUP(C41,'2_LN_DadosExportados'!V:V,1,FALSE),"")</f>
        <v/>
      </c>
      <c r="AQ41" t="str" cm="1">
        <f t="array" ref="AQ41">IF(AND(ISERR(FIND("sim",INDEX('existencia de wc'!K$2:K$193,MATCH('3_Industrial_Plan_Idash'!C41,'existencia de wc'!B$2:B$192,0))))=FALSE,SUMPRODUCT(('2_LN_DadosExportados'!V$2:V$314='3_Industrial_Plan_Idash'!C41)*('2_LN_DadosExportados'!A$2:A$314="X"))&gt;0), "MOSTRAR","")</f>
        <v/>
      </c>
    </row>
    <row r="42" spans="1:43" ht="15.75" thickBot="1" x14ac:dyDescent="0.3">
      <c r="A42" s="153" t="str">
        <f t="shared" si="10"/>
        <v>INVEST</v>
      </c>
      <c r="B42" s="161" t="s">
        <v>764</v>
      </c>
      <c r="C42" s="161" t="s">
        <v>98</v>
      </c>
      <c r="D42" s="186">
        <v>1</v>
      </c>
      <c r="E42" s="181">
        <f>IFERROR(((SUMIFS('2_LN_DadosExportados'!AL:AL,'2_LN_DadosExportados'!$V:$V,$C42,'2_LN_DadosExportados'!$A:$A,"X")+R42)/X42)*$D42,"")</f>
        <v>0.8200457158689477</v>
      </c>
      <c r="F42" s="181">
        <f>IFERROR(((SUMIFS('2_LN_DadosExportados'!AM:AM,'2_LN_DadosExportados'!$V:$V,$C42,'2_LN_DadosExportados'!$A:$A,"X")+S42)/Y42)*$D42,"")</f>
        <v>0.96739959769716311</v>
      </c>
      <c r="G42" s="181">
        <f>IFERROR(((SUMIFS('2_LN_DadosExportados'!AN:AN,'2_LN_DadosExportados'!$V:$V,$C42,'2_LN_DadosExportados'!$A:$A,"X")+T42)/Z42)*$D42,"")</f>
        <v>0.90975433626352264</v>
      </c>
      <c r="H42" s="181">
        <f>IFERROR(((SUMIFS('2_LN_DadosExportados'!AO:AO,'2_LN_DadosExportados'!$V:$V,$C42,'2_LN_DadosExportados'!$A:$A,"X")+U42)/AA42)*$D42,"")</f>
        <v>0.96734784386282224</v>
      </c>
      <c r="I42" s="181">
        <f>IFERROR(((SUMIFS('2_LN_DadosExportados'!AP:AP,'2_LN_DadosExportados'!$V:$V,$C42,'2_LN_DadosExportados'!$A:$A,"X")+V42)/AB42)*$D42,"")</f>
        <v>1.0268521030263826</v>
      </c>
      <c r="J42" s="181">
        <f>IFERROR(((SUMIFS('2_LN_DadosExportados'!AQ:AQ,'2_LN_DadosExportados'!$V:$V,$C42,'2_LN_DadosExportados'!$A:$A,"X")+W42)/AC42)*$D42,"")</f>
        <v>1.0234013070814032</v>
      </c>
      <c r="K42" s="179">
        <f t="shared" si="35"/>
        <v>0.8200457158689477</v>
      </c>
      <c r="L42" s="179">
        <f t="shared" si="36"/>
        <v>0.96739959769716311</v>
      </c>
      <c r="M42" s="179">
        <f t="shared" si="37"/>
        <v>0.90975433626352264</v>
      </c>
      <c r="N42" s="179">
        <f t="shared" si="38"/>
        <v>0.96734784386282224</v>
      </c>
      <c r="O42" s="179">
        <f t="shared" si="39"/>
        <v>1.0268521030263826</v>
      </c>
      <c r="P42" s="179">
        <f t="shared" si="40"/>
        <v>1.0234013070814032</v>
      </c>
      <c r="Q42" s="162">
        <v>60</v>
      </c>
      <c r="R42" s="163">
        <v>2131.02</v>
      </c>
      <c r="S42" s="163">
        <v>2510.46</v>
      </c>
      <c r="T42" s="163">
        <v>2620.42</v>
      </c>
      <c r="U42" s="163">
        <v>2791.94</v>
      </c>
      <c r="V42" s="163">
        <v>2952.59</v>
      </c>
      <c r="W42" s="163">
        <v>2969.01</v>
      </c>
      <c r="X42" s="164">
        <f t="shared" si="17"/>
        <v>2598.6600000000003</v>
      </c>
      <c r="Y42" s="164">
        <f t="shared" si="18"/>
        <v>2595.06</v>
      </c>
      <c r="Z42" s="164">
        <f t="shared" si="19"/>
        <v>2880.36</v>
      </c>
      <c r="AA42" s="164">
        <f t="shared" si="20"/>
        <v>2886.18</v>
      </c>
      <c r="AB42" s="164">
        <f t="shared" si="21"/>
        <v>2875.38</v>
      </c>
      <c r="AC42" s="164">
        <f t="shared" si="22"/>
        <v>2901.12</v>
      </c>
      <c r="AD42" s="165">
        <v>4331.1000000000004</v>
      </c>
      <c r="AE42" s="165">
        <v>4325.1000000000004</v>
      </c>
      <c r="AF42" s="165">
        <v>4800.6000000000004</v>
      </c>
      <c r="AG42" s="165">
        <v>4810.3</v>
      </c>
      <c r="AH42" s="165">
        <v>4792.3</v>
      </c>
      <c r="AI42" s="165">
        <v>4835.2</v>
      </c>
      <c r="AJ42" s="166">
        <v>1472888</v>
      </c>
      <c r="AK42" s="166">
        <v>1748939</v>
      </c>
      <c r="AL42" s="166">
        <v>1849763</v>
      </c>
      <c r="AM42" s="166">
        <v>1996294</v>
      </c>
      <c r="AN42" s="166">
        <v>2139894</v>
      </c>
      <c r="AO42" s="166">
        <v>2185231</v>
      </c>
      <c r="AP42" s="2" t="str">
        <f>IFERROR(VLOOKUP(C42,'2_LN_DadosExportados'!V:V,1,FALSE),"")</f>
        <v/>
      </c>
      <c r="AQ42" t="str" cm="1">
        <f t="array" ref="AQ42">IF(AND(ISERR(FIND("sim",INDEX('existencia de wc'!K$2:K$193,MATCH('3_Industrial_Plan_Idash'!C42,'existencia de wc'!B$2:B$192,0))))=FALSE,SUMPRODUCT(('2_LN_DadosExportados'!V$2:V$314='3_Industrial_Plan_Idash'!C42)*('2_LN_DadosExportados'!A$2:A$314="X"))&gt;0), "MOSTRAR","")</f>
        <v/>
      </c>
    </row>
    <row r="43" spans="1:43" ht="15.75" hidden="1" thickBot="1" x14ac:dyDescent="0.3">
      <c r="A43" s="153" t="str">
        <f t="shared" si="10"/>
        <v>OK</v>
      </c>
      <c r="B43" s="161" t="s">
        <v>765</v>
      </c>
      <c r="C43" s="161" t="s">
        <v>766</v>
      </c>
      <c r="D43" s="186">
        <v>1</v>
      </c>
      <c r="E43" s="181">
        <f>IFERROR(((SUMIFS('2_LN_DadosExportados'!AL:AL,'2_LN_DadosExportados'!$V:$V,$C43,'2_LN_DadosExportados'!$A:$A,"X")+R43)/X43)*$D43,"")</f>
        <v>0.54742828996482795</v>
      </c>
      <c r="F43" s="181">
        <f>IFERROR(((SUMIFS('2_LN_DadosExportados'!AM:AM,'2_LN_DadosExportados'!$V:$V,$C43,'2_LN_DadosExportados'!$A:$A,"X")+S43)/Y43)*$D43,"")</f>
        <v>0.78156959762009359</v>
      </c>
      <c r="G43" s="181">
        <f>IFERROR(((SUMIFS('2_LN_DadosExportados'!AN:AN,'2_LN_DadosExportados'!$V:$V,$C43,'2_LN_DadosExportados'!$A:$A,"X")+T43)/Z43)*$D43,"")</f>
        <v>0.76416489605465987</v>
      </c>
      <c r="H43" s="181">
        <f>IFERROR(((SUMIFS('2_LN_DadosExportados'!AO:AO,'2_LN_DadosExportados'!$V:$V,$C43,'2_LN_DadosExportados'!$A:$A,"X")+U43)/AA43)*$D43,"")</f>
        <v>0.85184222744250193</v>
      </c>
      <c r="I43" s="181">
        <f>IFERROR(((SUMIFS('2_LN_DadosExportados'!AP:AP,'2_LN_DadosExportados'!$V:$V,$C43,'2_LN_DadosExportados'!$A:$A,"X")+V43)/AB43)*$D43,"")</f>
        <v>0.93941322538238425</v>
      </c>
      <c r="J43" s="181">
        <f>IFERROR(((SUMIFS('2_LN_DadosExportados'!AQ:AQ,'2_LN_DadosExportados'!$V:$V,$C43,'2_LN_DadosExportados'!$A:$A,"X")+W43)/AC43)*$D43,"")</f>
        <v>0.94633451908228539</v>
      </c>
      <c r="K43" s="179">
        <f t="shared" si="35"/>
        <v>0.54742828996482795</v>
      </c>
      <c r="L43" s="179">
        <f t="shared" si="36"/>
        <v>0.78156959762009359</v>
      </c>
      <c r="M43" s="179">
        <f t="shared" si="37"/>
        <v>0.76416489605465987</v>
      </c>
      <c r="N43" s="179">
        <f t="shared" si="38"/>
        <v>0.85184222744250193</v>
      </c>
      <c r="O43" s="179">
        <f t="shared" si="39"/>
        <v>0.93941322538238425</v>
      </c>
      <c r="P43" s="179">
        <f t="shared" si="40"/>
        <v>0.94633451908228539</v>
      </c>
      <c r="Q43" s="162">
        <v>60</v>
      </c>
      <c r="R43" s="163">
        <v>1422.58</v>
      </c>
      <c r="S43" s="163">
        <v>2028.22</v>
      </c>
      <c r="T43" s="163">
        <v>2201.0700000000002</v>
      </c>
      <c r="U43" s="163">
        <v>2458.5700000000002</v>
      </c>
      <c r="V43" s="163">
        <v>2701.17</v>
      </c>
      <c r="W43" s="163">
        <v>2745.43</v>
      </c>
      <c r="X43" s="164">
        <f t="shared" si="17"/>
        <v>2598.6600000000003</v>
      </c>
      <c r="Y43" s="164">
        <f t="shared" si="18"/>
        <v>2595.06</v>
      </c>
      <c r="Z43" s="164">
        <f t="shared" si="19"/>
        <v>2880.36</v>
      </c>
      <c r="AA43" s="164">
        <f t="shared" si="20"/>
        <v>2886.18</v>
      </c>
      <c r="AB43" s="164">
        <f t="shared" si="21"/>
        <v>2875.38</v>
      </c>
      <c r="AC43" s="164">
        <f t="shared" si="22"/>
        <v>2901.12</v>
      </c>
      <c r="AD43" s="165">
        <v>4331.1000000000004</v>
      </c>
      <c r="AE43" s="165">
        <v>4325.1000000000004</v>
      </c>
      <c r="AF43" s="165">
        <v>4800.6000000000004</v>
      </c>
      <c r="AG43" s="165">
        <v>4810.3</v>
      </c>
      <c r="AH43" s="165">
        <v>4792.3</v>
      </c>
      <c r="AI43" s="165">
        <v>4835.2</v>
      </c>
      <c r="AJ43" s="166">
        <v>737411</v>
      </c>
      <c r="AK43" s="166">
        <v>1030302</v>
      </c>
      <c r="AL43" s="166">
        <v>1131126</v>
      </c>
      <c r="AM43" s="166">
        <v>1277657</v>
      </c>
      <c r="AN43" s="166">
        <v>1421257</v>
      </c>
      <c r="AO43" s="166">
        <v>1466594</v>
      </c>
      <c r="AP43" s="2" t="str">
        <f>IFERROR(VLOOKUP(C43,'2_LN_DadosExportados'!V:V,1,FALSE),"")</f>
        <v/>
      </c>
      <c r="AQ43" t="str" cm="1">
        <f t="array" ref="AQ43">IF(AND(ISERR(FIND("sim",INDEX('existencia de wc'!K$2:K$193,MATCH('3_Industrial_Plan_Idash'!C43,'existencia de wc'!B$2:B$192,0))))=FALSE,SUMPRODUCT(('2_LN_DadosExportados'!V$2:V$314='3_Industrial_Plan_Idash'!C43)*('2_LN_DadosExportados'!A$2:A$314="X"))&gt;0), "MOSTRAR","")</f>
        <v/>
      </c>
    </row>
    <row r="44" spans="1:43" ht="15.75" thickBot="1" x14ac:dyDescent="0.3">
      <c r="A44" s="153" t="str">
        <f t="shared" si="10"/>
        <v>OK</v>
      </c>
      <c r="B44" s="161" t="s">
        <v>767</v>
      </c>
      <c r="C44" s="161" t="s">
        <v>96</v>
      </c>
      <c r="D44" s="186">
        <v>4</v>
      </c>
      <c r="E44" s="181">
        <f>IFERROR(((SUMIFS('2_LN_DadosExportados'!AL:AL,'2_LN_DadosExportados'!$V:$V,$C44,'2_LN_DadosExportados'!$A:$A,"X")+R44)/X44)*$D44,"")</f>
        <v>0.80098426952210866</v>
      </c>
      <c r="F44" s="181">
        <f>IFERROR(((SUMIFS('2_LN_DadosExportados'!AM:AM,'2_LN_DadosExportados'!$V:$V,$C44,'2_LN_DadosExportados'!$A:$A,"X")+S44)/Y44)*$D44,"")</f>
        <v>1.3701802655815278</v>
      </c>
      <c r="G44" s="181">
        <f>IFERROR(((SUMIFS('2_LN_DadosExportados'!AN:AN,'2_LN_DadosExportados'!$V:$V,$C44,'2_LN_DadosExportados'!$A:$A,"X")+T44)/Z44)*$D44,"")</f>
        <v>1.4701679616061403</v>
      </c>
      <c r="H44" s="181">
        <f>IFERROR(((SUMIFS('2_LN_DadosExportados'!AO:AO,'2_LN_DadosExportados'!$V:$V,$C44,'2_LN_DadosExportados'!$A:$A,"X")+U44)/AA44)*$D44,"")</f>
        <v>1.4445992049467924</v>
      </c>
      <c r="I44" s="181">
        <f>IFERROR(((SUMIFS('2_LN_DadosExportados'!AP:AP,'2_LN_DadosExportados'!$V:$V,$C44,'2_LN_DadosExportados'!$A:$A,"X")+V44)/AB44)*$D44,"")</f>
        <v>1.5513948953943963</v>
      </c>
      <c r="J44" s="181">
        <f>IFERROR(((SUMIFS('2_LN_DadosExportados'!AQ:AQ,'2_LN_DadosExportados'!$V:$V,$C44,'2_LN_DadosExportados'!$A:$A,"X")+W44)/AC44)*$D44,"")</f>
        <v>1.6392352166695288</v>
      </c>
      <c r="K44" s="179">
        <f t="shared" si="35"/>
        <v>0.80098426952210866</v>
      </c>
      <c r="L44" s="179">
        <f t="shared" si="36"/>
        <v>1.3701802655815278</v>
      </c>
      <c r="M44" s="179">
        <f t="shared" si="37"/>
        <v>1.4701679616061403</v>
      </c>
      <c r="N44" s="179">
        <f t="shared" si="38"/>
        <v>1.4445992049467924</v>
      </c>
      <c r="O44" s="179">
        <f t="shared" si="39"/>
        <v>1.5513948953943963</v>
      </c>
      <c r="P44" s="179">
        <f t="shared" si="40"/>
        <v>1.6392352166695288</v>
      </c>
      <c r="Q44" s="162">
        <v>90</v>
      </c>
      <c r="R44" s="163">
        <v>3323.5</v>
      </c>
      <c r="S44" s="163">
        <f>4133.55+1200</f>
        <v>5333.55</v>
      </c>
      <c r="T44" s="163">
        <f>5774.81+600</f>
        <v>6374.81</v>
      </c>
      <c r="U44" s="163">
        <v>6254.06</v>
      </c>
      <c r="V44" s="163">
        <v>6715.43</v>
      </c>
      <c r="W44" s="163">
        <v>7158.95</v>
      </c>
      <c r="X44" s="164">
        <f t="shared" si="17"/>
        <v>16597.080000000002</v>
      </c>
      <c r="Y44" s="164">
        <f t="shared" si="18"/>
        <v>15570.360000000002</v>
      </c>
      <c r="Z44" s="164">
        <f t="shared" si="19"/>
        <v>17344.439999999999</v>
      </c>
      <c r="AA44" s="164">
        <f t="shared" si="20"/>
        <v>17317.080000000002</v>
      </c>
      <c r="AB44" s="164">
        <f t="shared" si="21"/>
        <v>17314.560000000001</v>
      </c>
      <c r="AC44" s="164">
        <f t="shared" si="22"/>
        <v>17469</v>
      </c>
      <c r="AD44" s="165">
        <v>18441.2</v>
      </c>
      <c r="AE44" s="165">
        <v>17300.400000000001</v>
      </c>
      <c r="AF44" s="165">
        <v>19271.599999999999</v>
      </c>
      <c r="AG44" s="165">
        <v>19241.2</v>
      </c>
      <c r="AH44" s="165">
        <v>19238.400000000001</v>
      </c>
      <c r="AI44" s="165">
        <v>19410</v>
      </c>
      <c r="AJ44" s="166">
        <v>323688</v>
      </c>
      <c r="AK44" s="166">
        <v>424607</v>
      </c>
      <c r="AL44" s="166">
        <v>600297</v>
      </c>
      <c r="AM44" s="166">
        <v>659831</v>
      </c>
      <c r="AN44" s="166">
        <v>719365</v>
      </c>
      <c r="AO44" s="166">
        <v>778898</v>
      </c>
      <c r="AP44" s="2" t="str">
        <f>IFERROR(VLOOKUP(C44,'2_LN_DadosExportados'!V:V,1,FALSE),"")</f>
        <v>WC - Torno CNC Okuma 1/2/3/4</v>
      </c>
      <c r="AQ44" t="str" cm="1">
        <f t="array" ref="AQ44">IF(AND(ISERR(FIND("sim",INDEX('existencia de wc'!K$2:K$193,MATCH('3_Industrial_Plan_Idash'!C44,'existencia de wc'!B$2:B$192,0))))=FALSE,SUMPRODUCT(('2_LN_DadosExportados'!V$2:V$314='3_Industrial_Plan_Idash'!C44)*('2_LN_DadosExportados'!A$2:A$314="X"))&gt;0), "MOSTRAR","")</f>
        <v/>
      </c>
    </row>
    <row r="45" spans="1:43" ht="15.75" hidden="1" thickBot="1" x14ac:dyDescent="0.3">
      <c r="A45" s="153" t="str">
        <f t="shared" si="10"/>
        <v>OK</v>
      </c>
      <c r="B45" s="161" t="s">
        <v>768</v>
      </c>
      <c r="C45" s="161" t="s">
        <v>769</v>
      </c>
      <c r="D45" s="186">
        <v>2</v>
      </c>
      <c r="E45" s="181">
        <f>IFERROR(((SUMIFS('2_LN_DadosExportados'!AL:AL,'2_LN_DadosExportados'!$V:$V,$C45,'2_LN_DadosExportados'!$A:$A,"X")+R45)/X45)*$D45,"")</f>
        <v>0</v>
      </c>
      <c r="F45" s="181">
        <f>IFERROR(((SUMIFS('2_LN_DadosExportados'!AM:AM,'2_LN_DadosExportados'!$V:$V,$C45,'2_LN_DadosExportados'!$A:$A,"X")+S45)/Y45)*$D45,"")</f>
        <v>0</v>
      </c>
      <c r="G45" s="181">
        <f>IFERROR(((SUMIFS('2_LN_DadosExportados'!AN:AN,'2_LN_DadosExportados'!$V:$V,$C45,'2_LN_DadosExportados'!$A:$A,"X")+T45)/Z45)*$D45,"")</f>
        <v>0</v>
      </c>
      <c r="H45" s="181">
        <f>IFERROR(((SUMIFS('2_LN_DadosExportados'!AO:AO,'2_LN_DadosExportados'!$V:$V,$C45,'2_LN_DadosExportados'!$A:$A,"X")+U45)/AA45)*$D45,"")</f>
        <v>0</v>
      </c>
      <c r="I45" s="181">
        <f>IFERROR(((SUMIFS('2_LN_DadosExportados'!AP:AP,'2_LN_DadosExportados'!$V:$V,$C45,'2_LN_DadosExportados'!$A:$A,"X")+V45)/AB45)*$D45,"")</f>
        <v>0</v>
      </c>
      <c r="J45" s="181">
        <f>IFERROR(((SUMIFS('2_LN_DadosExportados'!AQ:AQ,'2_LN_DadosExportados'!$V:$V,$C45,'2_LN_DadosExportados'!$A:$A,"X")+W45)/AC45)*$D45,"")</f>
        <v>0</v>
      </c>
      <c r="K45" s="179">
        <f t="shared" si="35"/>
        <v>0</v>
      </c>
      <c r="L45" s="179">
        <f t="shared" si="36"/>
        <v>0</v>
      </c>
      <c r="M45" s="179">
        <f t="shared" si="37"/>
        <v>0</v>
      </c>
      <c r="N45" s="179">
        <f t="shared" si="38"/>
        <v>0</v>
      </c>
      <c r="O45" s="179">
        <f t="shared" si="39"/>
        <v>0</v>
      </c>
      <c r="P45" s="179">
        <f t="shared" si="40"/>
        <v>0</v>
      </c>
      <c r="Q45" s="162">
        <v>90</v>
      </c>
      <c r="R45" s="163">
        <v>0</v>
      </c>
      <c r="S45" s="163">
        <v>0</v>
      </c>
      <c r="T45" s="163">
        <v>0</v>
      </c>
      <c r="U45" s="163">
        <v>0</v>
      </c>
      <c r="V45" s="163">
        <v>0</v>
      </c>
      <c r="W45" s="163">
        <v>0</v>
      </c>
      <c r="X45" s="164">
        <f t="shared" si="17"/>
        <v>8298.5400000000009</v>
      </c>
      <c r="Y45" s="164">
        <f t="shared" si="18"/>
        <v>7785.1800000000012</v>
      </c>
      <c r="Z45" s="164">
        <f t="shared" si="19"/>
        <v>8672.2199999999993</v>
      </c>
      <c r="AA45" s="164">
        <f t="shared" si="20"/>
        <v>8658.5400000000009</v>
      </c>
      <c r="AB45" s="164">
        <f t="shared" si="21"/>
        <v>8657.2800000000007</v>
      </c>
      <c r="AC45" s="164">
        <f t="shared" si="22"/>
        <v>8734.5</v>
      </c>
      <c r="AD45" s="165">
        <v>9220.6</v>
      </c>
      <c r="AE45" s="165">
        <v>8650.2000000000007</v>
      </c>
      <c r="AF45" s="165">
        <v>9635.7999999999993</v>
      </c>
      <c r="AG45" s="165">
        <v>9620.6</v>
      </c>
      <c r="AH45" s="165">
        <v>9619.2000000000007</v>
      </c>
      <c r="AI45" s="165">
        <v>9705</v>
      </c>
      <c r="AJ45" s="166">
        <v>0</v>
      </c>
      <c r="AK45" s="166">
        <v>0</v>
      </c>
      <c r="AL45" s="166">
        <v>0</v>
      </c>
      <c r="AM45" s="166">
        <v>0</v>
      </c>
      <c r="AN45" s="166">
        <v>0</v>
      </c>
      <c r="AO45" s="166">
        <v>0</v>
      </c>
      <c r="AP45" s="2" t="str">
        <f>IFERROR(VLOOKUP(C45,'2_LN_DadosExportados'!V:V,1,FALSE),"")</f>
        <v/>
      </c>
      <c r="AQ45" t="str" cm="1">
        <f t="array" ref="AQ45">IF(AND(ISERR(FIND("sim",INDEX('existencia de wc'!K$2:K$193,MATCH('3_Industrial_Plan_Idash'!C45,'existencia de wc'!B$2:B$192,0))))=FALSE,SUMPRODUCT(('2_LN_DadosExportados'!V$2:V$314='3_Industrial_Plan_Idash'!C45)*('2_LN_DadosExportados'!A$2:A$314="X"))&gt;0), "MOSTRAR","")</f>
        <v/>
      </c>
    </row>
    <row r="46" spans="1:43" ht="15.75" hidden="1" thickBot="1" x14ac:dyDescent="0.3">
      <c r="A46" s="153" t="str">
        <f t="shared" si="10"/>
        <v>OK</v>
      </c>
      <c r="B46" s="161" t="s">
        <v>770</v>
      </c>
      <c r="C46" s="161" t="s">
        <v>111</v>
      </c>
      <c r="D46" s="186">
        <v>1</v>
      </c>
      <c r="E46" s="181">
        <f>IFERROR(((SUMIFS('2_LN_DadosExportados'!AL:AL,'2_LN_DadosExportados'!$V:$V,$C46,'2_LN_DadosExportados'!$A:$A,"X")+R46)/X46)*$D46,"")</f>
        <v>0.98720366137419535</v>
      </c>
      <c r="F46" s="181">
        <f>IFERROR(((SUMIFS('2_LN_DadosExportados'!AM:AM,'2_LN_DadosExportados'!$V:$V,$C46,'2_LN_DadosExportados'!$A:$A,"X")+S46)/Y46)*$D46,"")</f>
        <v>0.9853465173573378</v>
      </c>
      <c r="G46" s="181">
        <f>IFERROR(((SUMIFS('2_LN_DadosExportados'!AN:AN,'2_LN_DadosExportados'!$V:$V,$C46,'2_LN_DadosExportados'!$A:$A,"X")+T46)/Z46)*$D46,"")</f>
        <v>0.88515555925879619</v>
      </c>
      <c r="H46" s="181">
        <f>IFERROR(((SUMIFS('2_LN_DadosExportados'!AO:AO,'2_LN_DadosExportados'!$V:$V,$C46,'2_LN_DadosExportados'!$A:$A,"X")+U46)/AA46)*$D46,"")</f>
        <v>0.88078359631069436</v>
      </c>
      <c r="I46" s="181">
        <f>IFERROR(((SUMIFS('2_LN_DadosExportados'!AP:AP,'2_LN_DadosExportados'!$V:$V,$C46,'2_LN_DadosExportados'!$A:$A,"X")+V46)/AB46)*$D46,"")</f>
        <v>0.88149508354837725</v>
      </c>
      <c r="J46" s="181">
        <f>IFERROR(((SUMIFS('2_LN_DadosExportados'!AQ:AQ,'2_LN_DadosExportados'!$V:$V,$C46,'2_LN_DadosExportados'!$A:$A,"X")+W46)/AC46)*$D46,"")</f>
        <v>0.15873180013236265</v>
      </c>
      <c r="K46" s="179">
        <f t="shared" si="35"/>
        <v>0.98720366137419535</v>
      </c>
      <c r="L46" s="179">
        <f t="shared" si="36"/>
        <v>0.9853465173573378</v>
      </c>
      <c r="M46" s="179">
        <f t="shared" si="37"/>
        <v>0.88515555925879619</v>
      </c>
      <c r="N46" s="179">
        <f t="shared" si="38"/>
        <v>0.88078359631069436</v>
      </c>
      <c r="O46" s="179">
        <f t="shared" si="39"/>
        <v>0.88149508354837725</v>
      </c>
      <c r="P46" s="179">
        <f t="shared" si="40"/>
        <v>0.15873180013236265</v>
      </c>
      <c r="Q46" s="162">
        <v>90</v>
      </c>
      <c r="R46" s="163">
        <f>748.11+3100</f>
        <v>3848.11</v>
      </c>
      <c r="S46" s="163">
        <f>735.55+3100</f>
        <v>3835.55</v>
      </c>
      <c r="T46" s="163">
        <f>724.35+3100</f>
        <v>3824.35</v>
      </c>
      <c r="U46" s="163">
        <f>713.15+3100</f>
        <v>3813.15</v>
      </c>
      <c r="V46" s="163">
        <f>701.95+3100</f>
        <v>3801.95</v>
      </c>
      <c r="W46" s="163">
        <v>690.75</v>
      </c>
      <c r="X46" s="164">
        <f t="shared" si="17"/>
        <v>3897.9900000000002</v>
      </c>
      <c r="Y46" s="164">
        <f t="shared" si="18"/>
        <v>3892.5900000000006</v>
      </c>
      <c r="Z46" s="164">
        <f t="shared" si="19"/>
        <v>4320.5400000000009</v>
      </c>
      <c r="AA46" s="164">
        <f t="shared" si="20"/>
        <v>4329.2700000000004</v>
      </c>
      <c r="AB46" s="164">
        <f t="shared" si="21"/>
        <v>4313.0700000000006</v>
      </c>
      <c r="AC46" s="164">
        <f t="shared" si="22"/>
        <v>4351.68</v>
      </c>
      <c r="AD46" s="165">
        <v>4331.1000000000004</v>
      </c>
      <c r="AE46" s="165">
        <v>4325.1000000000004</v>
      </c>
      <c r="AF46" s="165">
        <v>4800.6000000000004</v>
      </c>
      <c r="AG46" s="165">
        <v>4810.3</v>
      </c>
      <c r="AH46" s="165">
        <v>4792.3</v>
      </c>
      <c r="AI46" s="165">
        <v>4835.2</v>
      </c>
      <c r="AJ46" s="166">
        <v>157103</v>
      </c>
      <c r="AK46" s="166">
        <v>156818</v>
      </c>
      <c r="AL46" s="166">
        <v>156818</v>
      </c>
      <c r="AM46" s="166">
        <v>156818</v>
      </c>
      <c r="AN46" s="166">
        <v>156818</v>
      </c>
      <c r="AO46" s="166">
        <v>156818</v>
      </c>
      <c r="AP46" s="2" t="str">
        <f>IFERROR(VLOOKUP(C46,'2_LN_DadosExportados'!V:V,1,FALSE),"")</f>
        <v/>
      </c>
      <c r="AQ46" t="str" cm="1">
        <f t="array" ref="AQ46">IF(AND(ISERR(FIND("sim",INDEX('existencia de wc'!K$2:K$193,MATCH('3_Industrial_Plan_Idash'!C46,'existencia de wc'!B$2:B$192,0))))=FALSE,SUMPRODUCT(('2_LN_DadosExportados'!V$2:V$314='3_Industrial_Plan_Idash'!C46)*('2_LN_DadosExportados'!A$2:A$314="X"))&gt;0), "MOSTRAR","")</f>
        <v/>
      </c>
    </row>
    <row r="47" spans="1:43" ht="15.75" hidden="1" thickBot="1" x14ac:dyDescent="0.3">
      <c r="A47" s="153" t="str">
        <f t="shared" si="10"/>
        <v>INVEST</v>
      </c>
      <c r="B47" s="161" t="s">
        <v>771</v>
      </c>
      <c r="C47" s="161" t="s">
        <v>65</v>
      </c>
      <c r="D47" s="186">
        <v>1</v>
      </c>
      <c r="E47" s="181">
        <f>IFERROR(((SUMIFS('2_LN_DadosExportados'!AL:AL,'2_LN_DadosExportados'!$V:$V,$C47,'2_LN_DadosExportados'!$A:$A,"X")+R47)/X47)*$D47,"")</f>
        <v>0.69663082768298534</v>
      </c>
      <c r="F47" s="181">
        <f>IFERROR(((SUMIFS('2_LN_DadosExportados'!AM:AM,'2_LN_DadosExportados'!$V:$V,$C47,'2_LN_DadosExportados'!$A:$A,"X")+S47)/Y47)*$D47,"")</f>
        <v>0.90927891198405153</v>
      </c>
      <c r="G47" s="181">
        <f>IFERROR(((SUMIFS('2_LN_DadosExportados'!AN:AN,'2_LN_DadosExportados'!$V:$V,$C47,'2_LN_DadosExportados'!$A:$A,"X")+T47)/Z47)*$D47,"")</f>
        <v>0.90105634943780166</v>
      </c>
      <c r="H47" s="181">
        <f>IFERROR(((SUMIFS('2_LN_DadosExportados'!AO:AO,'2_LN_DadosExportados'!$V:$V,$C47,'2_LN_DadosExportados'!$A:$A,"X")+U47)/AA47)*$D47,"")</f>
        <v>1.020012611826012</v>
      </c>
      <c r="I47" s="181">
        <f>IFERROR(((SUMIFS('2_LN_DadosExportados'!AP:AP,'2_LN_DadosExportados'!$V:$V,$C47,'2_LN_DadosExportados'!$A:$A,"X")+V47)/AB47)*$D47,"")</f>
        <v>1.1381660858738669</v>
      </c>
      <c r="J47" s="181">
        <f>IFERROR(((SUMIFS('2_LN_DadosExportados'!AQ:AQ,'2_LN_DadosExportados'!$V:$V,$C47,'2_LN_DadosExportados'!$A:$A,"X")+W47)/AC47)*$D47,"")</f>
        <v>1.1502201448635929</v>
      </c>
      <c r="K47" s="179">
        <f t="shared" si="35"/>
        <v>0.69663082768298534</v>
      </c>
      <c r="L47" s="179">
        <f t="shared" si="36"/>
        <v>0.90927891198405153</v>
      </c>
      <c r="M47" s="179">
        <f t="shared" si="37"/>
        <v>0.90105634943780166</v>
      </c>
      <c r="N47" s="179">
        <f t="shared" si="38"/>
        <v>1.020012611826012</v>
      </c>
      <c r="O47" s="179">
        <f t="shared" si="39"/>
        <v>1.1381660858738669</v>
      </c>
      <c r="P47" s="179">
        <f t="shared" si="40"/>
        <v>1.1502201448635929</v>
      </c>
      <c r="Q47" s="162">
        <v>90</v>
      </c>
      <c r="R47" s="163">
        <v>2715.46</v>
      </c>
      <c r="S47" s="163">
        <v>3539.45</v>
      </c>
      <c r="T47" s="163">
        <v>3893.05</v>
      </c>
      <c r="U47" s="163">
        <v>4415.91</v>
      </c>
      <c r="V47" s="163">
        <v>4908.99</v>
      </c>
      <c r="W47" s="163">
        <v>5005.3900000000003</v>
      </c>
      <c r="X47" s="164">
        <f t="shared" si="17"/>
        <v>3897.9900000000002</v>
      </c>
      <c r="Y47" s="164">
        <f t="shared" si="18"/>
        <v>3892.5900000000006</v>
      </c>
      <c r="Z47" s="164">
        <f t="shared" si="19"/>
        <v>4320.5400000000009</v>
      </c>
      <c r="AA47" s="164">
        <f t="shared" si="20"/>
        <v>4329.2700000000004</v>
      </c>
      <c r="AB47" s="164">
        <f t="shared" si="21"/>
        <v>4313.0700000000006</v>
      </c>
      <c r="AC47" s="164">
        <f t="shared" si="22"/>
        <v>4351.68</v>
      </c>
      <c r="AD47" s="165">
        <v>4331.1000000000004</v>
      </c>
      <c r="AE47" s="165">
        <v>4325.1000000000004</v>
      </c>
      <c r="AF47" s="165">
        <v>4800.6000000000004</v>
      </c>
      <c r="AG47" s="165">
        <v>4810.3</v>
      </c>
      <c r="AH47" s="165">
        <v>4792.3</v>
      </c>
      <c r="AI47" s="165">
        <v>4835.2</v>
      </c>
      <c r="AJ47" s="166">
        <v>601283</v>
      </c>
      <c r="AK47" s="166">
        <v>814370</v>
      </c>
      <c r="AL47" s="166">
        <v>915194</v>
      </c>
      <c r="AM47" s="166">
        <v>1061725</v>
      </c>
      <c r="AN47" s="166">
        <v>1205325</v>
      </c>
      <c r="AO47" s="166">
        <v>1250662</v>
      </c>
      <c r="AP47" s="2" t="str">
        <f>IFERROR(VLOOKUP(C47,'2_LN_DadosExportados'!V:V,1,FALSE),"")</f>
        <v>WC - Tor FAMAR Bi-SUB</v>
      </c>
      <c r="AQ47" t="str" cm="1">
        <f t="array" ref="AQ47">IF(AND(ISERR(FIND("sim",INDEX('existencia de wc'!K$2:K$193,MATCH('3_Industrial_Plan_Idash'!C47,'existencia de wc'!B$2:B$192,0))))=FALSE,SUMPRODUCT(('2_LN_DadosExportados'!V$2:V$314='3_Industrial_Plan_Idash'!C47)*('2_LN_DadosExportados'!A$2:A$314="X"))&gt;0), "MOSTRAR","")</f>
        <v/>
      </c>
    </row>
    <row r="48" spans="1:43" ht="15.75" hidden="1" thickBot="1" x14ac:dyDescent="0.3">
      <c r="A48" s="153" t="str">
        <f t="shared" si="10"/>
        <v>INVEST</v>
      </c>
      <c r="B48" s="161" t="s">
        <v>772</v>
      </c>
      <c r="C48" s="161" t="s">
        <v>107</v>
      </c>
      <c r="D48" s="186">
        <v>1</v>
      </c>
      <c r="E48" s="181">
        <f>IFERROR(((SUMIFS('2_LN_DadosExportados'!AL:AL,'2_LN_DadosExportados'!$V:$V,$C48,'2_LN_DadosExportados'!$A:$A,"X")+R48)/X48)*$D48,"")</f>
        <v>1.2025428490067958</v>
      </c>
      <c r="F48" s="181">
        <f>IFERROR(((SUMIFS('2_LN_DadosExportados'!AM:AM,'2_LN_DadosExportados'!$V:$V,$C48,'2_LN_DadosExportados'!$A:$A,"X")+S48)/Y48)*$D48,"")</f>
        <v>2.1174649783306227</v>
      </c>
      <c r="G48" s="181">
        <f>IFERROR(((SUMIFS('2_LN_DadosExportados'!AN:AN,'2_LN_DadosExportados'!$V:$V,$C48,'2_LN_DadosExportados'!$A:$A,"X")+T48)/Z48)*$D48,"")</f>
        <v>2.4031317150171039</v>
      </c>
      <c r="H48" s="181">
        <f>IFERROR(((SUMIFS('2_LN_DadosExportados'!AO:AO,'2_LN_DadosExportados'!$V:$V,$C48,'2_LN_DadosExportados'!$A:$A,"X")+U48)/AA48)*$D48,"")</f>
        <v>2.6922136988453014</v>
      </c>
      <c r="I48" s="181">
        <f>IFERROR(((SUMIFS('2_LN_DadosExportados'!AP:AP,'2_LN_DadosExportados'!$V:$V,$C48,'2_LN_DadosExportados'!$A:$A,"X")+V48)/AB48)*$D48,"")</f>
        <v>3.1300512164189307</v>
      </c>
      <c r="J48" s="181">
        <f>IFERROR(((SUMIFS('2_LN_DadosExportados'!AQ:AQ,'2_LN_DadosExportados'!$V:$V,$C48,'2_LN_DadosExportados'!$A:$A,"X")+W48)/AC48)*$D48,"")</f>
        <v>3.293764706963747</v>
      </c>
      <c r="K48" s="179">
        <f t="shared" ref="K48:K77" si="41">IFERROR(R48/X48*$D48,"")</f>
        <v>1.2025428490067958</v>
      </c>
      <c r="L48" s="179">
        <f t="shared" ref="L48:L77" si="42">IFERROR(S48/Y48*$D48,"")</f>
        <v>2.1174649783306227</v>
      </c>
      <c r="M48" s="179">
        <f t="shared" ref="M48:M77" si="43">IFERROR(T48/Z48*$D48,"")</f>
        <v>2.4031317150171039</v>
      </c>
      <c r="N48" s="179">
        <f t="shared" ref="N48:N77" si="44">IFERROR(U48/AA48*$D48,"")</f>
        <v>2.6922136988453014</v>
      </c>
      <c r="O48" s="179">
        <f t="shared" ref="O48:O77" si="45">IFERROR(V48/AB48*$D48,"")</f>
        <v>3.1300512164189307</v>
      </c>
      <c r="P48" s="179">
        <f t="shared" ref="P48:P77" si="46">IFERROR(W48/AC48*$D48,"")</f>
        <v>3.293764706963747</v>
      </c>
      <c r="Q48" s="162">
        <v>90</v>
      </c>
      <c r="R48" s="163">
        <v>4687.5</v>
      </c>
      <c r="S48" s="163">
        <f>6909.09+1333.333</f>
        <v>8242.4230000000007</v>
      </c>
      <c r="T48" s="163">
        <f>9716.16+666.6667</f>
        <v>10382.8267</v>
      </c>
      <c r="U48" s="163">
        <v>11655.32</v>
      </c>
      <c r="V48" s="163">
        <v>13500.13</v>
      </c>
      <c r="W48" s="163">
        <v>14333.41</v>
      </c>
      <c r="X48" s="164">
        <f>AD48*($Q48/100)</f>
        <v>3897.9900000000002</v>
      </c>
      <c r="Y48" s="164">
        <f t="shared" si="18"/>
        <v>3892.5900000000006</v>
      </c>
      <c r="Z48" s="164">
        <f t="shared" si="19"/>
        <v>4320.5400000000009</v>
      </c>
      <c r="AA48" s="164">
        <f t="shared" si="20"/>
        <v>4329.2700000000004</v>
      </c>
      <c r="AB48" s="164">
        <f t="shared" si="21"/>
        <v>4313.0700000000006</v>
      </c>
      <c r="AC48" s="164">
        <f t="shared" si="22"/>
        <v>4351.68</v>
      </c>
      <c r="AD48" s="165">
        <v>4331.1000000000004</v>
      </c>
      <c r="AE48" s="165">
        <v>4325.1000000000004</v>
      </c>
      <c r="AF48" s="165">
        <v>4800.6000000000004</v>
      </c>
      <c r="AG48" s="165">
        <v>4810.3</v>
      </c>
      <c r="AH48" s="165">
        <v>4792.3</v>
      </c>
      <c r="AI48" s="165">
        <v>4835.2</v>
      </c>
      <c r="AJ48" s="166">
        <v>450000</v>
      </c>
      <c r="AK48" s="166">
        <v>673179</v>
      </c>
      <c r="AL48" s="166">
        <v>949693</v>
      </c>
      <c r="AM48" s="166">
        <v>1155758</v>
      </c>
      <c r="AN48" s="166">
        <v>1358892</v>
      </c>
      <c r="AO48" s="166">
        <v>1463762</v>
      </c>
      <c r="AP48" s="2" t="str">
        <f>IFERROR(VLOOKUP(C48,'2_LN_DadosExportados'!V:V,1,FALSE),"")</f>
        <v/>
      </c>
      <c r="AQ48" t="str" cm="1">
        <f t="array" ref="AQ48">IF(AND(ISERR(FIND("sim",INDEX('existencia de wc'!K$2:K$193,MATCH('3_Industrial_Plan_Idash'!C48,'existencia de wc'!B$2:B$192,0))))=FALSE,SUMPRODUCT(('2_LN_DadosExportados'!V$2:V$314='3_Industrial_Plan_Idash'!C48)*('2_LN_DadosExportados'!A$2:A$314="X"))&gt;0), "MOSTRAR","")</f>
        <v/>
      </c>
    </row>
    <row r="49" spans="1:43" ht="15.75" hidden="1" thickBot="1" x14ac:dyDescent="0.3">
      <c r="A49" s="153" t="str">
        <f t="shared" si="10"/>
        <v>OK</v>
      </c>
      <c r="B49" s="161" t="s">
        <v>773</v>
      </c>
      <c r="C49" s="161" t="s">
        <v>774</v>
      </c>
      <c r="D49" s="186">
        <v>1</v>
      </c>
      <c r="E49" s="181">
        <f>IFERROR(((SUMIFS('2_LN_DadosExportados'!AL:AL,'2_LN_DadosExportados'!$V:$V,$C49,'2_LN_DadosExportados'!$A:$A,"X")+R49)/X49)*$D49,"")</f>
        <v>0.26257260081523143</v>
      </c>
      <c r="F49" s="181">
        <f>IFERROR(((SUMIFS('2_LN_DadosExportados'!AM:AM,'2_LN_DadosExportados'!$V:$V,$C49,'2_LN_DadosExportados'!$A:$A,"X")+S49)/Y49)*$D49,"")</f>
        <v>0.3418613709242827</v>
      </c>
      <c r="G49" s="181">
        <f>IFERROR(((SUMIFS('2_LN_DadosExportados'!AN:AN,'2_LN_DadosExportados'!$V:$V,$C49,'2_LN_DadosExportados'!$A:$A,"X")+T49)/Z49)*$D49,"")</f>
        <v>0.30221593512653933</v>
      </c>
      <c r="H49" s="181">
        <f>IFERROR(((SUMIFS('2_LN_DadosExportados'!AO:AO,'2_LN_DadosExportados'!$V:$V,$C49,'2_LN_DadosExportados'!$A:$A,"X")+U49)/AA49)*$D49,"")</f>
        <v>0.29801435701275625</v>
      </c>
      <c r="I49" s="181">
        <f>IFERROR(((SUMIFS('2_LN_DadosExportados'!AP:AP,'2_LN_DadosExportados'!$V:$V,$C49,'2_LN_DadosExportados'!$A:$A,"X")+V49)/AB49)*$D49,"")</f>
        <v>0.2933779876145145</v>
      </c>
      <c r="J49" s="181">
        <f>IFERROR(((SUMIFS('2_LN_DadosExportados'!AQ:AQ,'2_LN_DadosExportados'!$V:$V,$C49,'2_LN_DadosExportados'!$A:$A,"X")+W49)/AC49)*$D49,"")</f>
        <v>0.28614274957397057</v>
      </c>
      <c r="K49" s="179">
        <f t="shared" si="41"/>
        <v>0.26257260081523143</v>
      </c>
      <c r="L49" s="179">
        <f t="shared" si="42"/>
        <v>0.3418613709242827</v>
      </c>
      <c r="M49" s="179">
        <f t="shared" si="43"/>
        <v>0.30221593512653933</v>
      </c>
      <c r="N49" s="179">
        <f t="shared" si="44"/>
        <v>0.29801435701275625</v>
      </c>
      <c r="O49" s="179">
        <f t="shared" si="45"/>
        <v>0.2933779876145145</v>
      </c>
      <c r="P49" s="179">
        <f t="shared" si="46"/>
        <v>0.28614274957397057</v>
      </c>
      <c r="Q49" s="162">
        <v>65</v>
      </c>
      <c r="R49" s="163">
        <v>786.85</v>
      </c>
      <c r="S49" s="163">
        <v>961.08</v>
      </c>
      <c r="T49" s="163">
        <v>946.43</v>
      </c>
      <c r="U49" s="163">
        <v>931.8</v>
      </c>
      <c r="V49" s="163">
        <v>917.17</v>
      </c>
      <c r="W49" s="163">
        <v>902.53</v>
      </c>
      <c r="X49" s="164">
        <f t="shared" si="17"/>
        <v>2996.6950000000002</v>
      </c>
      <c r="Y49" s="164">
        <f t="shared" si="18"/>
        <v>2811.3150000000005</v>
      </c>
      <c r="Z49" s="164">
        <f t="shared" si="19"/>
        <v>3131.6349999999998</v>
      </c>
      <c r="AA49" s="164">
        <f t="shared" si="20"/>
        <v>3126.6950000000002</v>
      </c>
      <c r="AB49" s="164">
        <f t="shared" si="21"/>
        <v>3126.2400000000002</v>
      </c>
      <c r="AC49" s="164">
        <f t="shared" si="22"/>
        <v>3154.125</v>
      </c>
      <c r="AD49" s="165">
        <v>4610.3</v>
      </c>
      <c r="AE49" s="165">
        <v>4325.1000000000004</v>
      </c>
      <c r="AF49" s="165">
        <v>4817.8999999999996</v>
      </c>
      <c r="AG49" s="165">
        <v>4810.3</v>
      </c>
      <c r="AH49" s="165">
        <v>4809.6000000000004</v>
      </c>
      <c r="AI49" s="165">
        <v>4852.5</v>
      </c>
      <c r="AJ49" s="166">
        <v>849789</v>
      </c>
      <c r="AK49" s="166">
        <v>1053756</v>
      </c>
      <c r="AL49" s="166">
        <v>1053756</v>
      </c>
      <c r="AM49" s="166">
        <v>1053756</v>
      </c>
      <c r="AN49" s="166">
        <v>1053756</v>
      </c>
      <c r="AO49" s="166">
        <v>1053756</v>
      </c>
      <c r="AP49" s="2" t="str">
        <f>IFERROR(VLOOKUP(C49,'2_LN_DadosExportados'!V:V,1,FALSE),"")</f>
        <v/>
      </c>
      <c r="AQ49" t="str" cm="1">
        <f t="array" ref="AQ49">IF(AND(ISERR(FIND("sim",INDEX('existencia de wc'!K$2:K$193,MATCH('3_Industrial_Plan_Idash'!C49,'existencia de wc'!B$2:B$192,0))))=FALSE,SUMPRODUCT(('2_LN_DadosExportados'!V$2:V$314='3_Industrial_Plan_Idash'!C49)*('2_LN_DadosExportados'!A$2:A$314="X"))&gt;0), "MOSTRAR","")</f>
        <v/>
      </c>
    </row>
    <row r="50" spans="1:43" ht="15.75" hidden="1" thickBot="1" x14ac:dyDescent="0.3">
      <c r="A50" s="153" t="str">
        <f t="shared" si="10"/>
        <v>OK</v>
      </c>
      <c r="B50" s="161" t="s">
        <v>775</v>
      </c>
      <c r="C50" s="161" t="s">
        <v>109</v>
      </c>
      <c r="D50" s="186">
        <v>1</v>
      </c>
      <c r="E50" s="181">
        <f>IFERROR(((SUMIFS('2_LN_DadosExportados'!AL:AL,'2_LN_DadosExportados'!$V:$V,$C50,'2_LN_DadosExportados'!$A:$A,"X")+R50)/X50)*$D50,"")</f>
        <v>0.61958599175472484</v>
      </c>
      <c r="F50" s="181">
        <f>IFERROR(((SUMIFS('2_LN_DadosExportados'!AM:AM,'2_LN_DadosExportados'!$V:$V,$C50,'2_LN_DadosExportados'!$A:$A,"X")+S50)/Y50)*$D50,"")</f>
        <v>0.50385219095769129</v>
      </c>
      <c r="G50" s="181">
        <f>IFERROR(((SUMIFS('2_LN_DadosExportados'!AN:AN,'2_LN_DadosExportados'!$V:$V,$C50,'2_LN_DadosExportados'!$A:$A,"X")+T50)/Z50)*$D50,"")</f>
        <v>0.44703208395246885</v>
      </c>
      <c r="H50" s="181">
        <f>IFERROR(((SUMIFS('2_LN_DadosExportados'!AO:AO,'2_LN_DadosExportados'!$V:$V,$C50,'2_LN_DadosExportados'!$A:$A,"X")+U50)/AA50)*$D50,"")</f>
        <v>0.43923109438773739</v>
      </c>
      <c r="I50" s="181">
        <f>IFERROR(((SUMIFS('2_LN_DadosExportados'!AP:AP,'2_LN_DadosExportados'!$V:$V,$C50,'2_LN_DadosExportados'!$A:$A,"X")+V50)/AB50)*$D50,"")</f>
        <v>0.43395539604040739</v>
      </c>
      <c r="J50" s="181">
        <f>IFERROR(((SUMIFS('2_LN_DadosExportados'!AQ:AQ,'2_LN_DadosExportados'!$V:$V,$C50,'2_LN_DadosExportados'!$A:$A,"X")+W50)/AC50)*$D50,"")</f>
        <v>0.42324343701742773</v>
      </c>
      <c r="K50" s="179">
        <f t="shared" si="41"/>
        <v>0.61958599175472484</v>
      </c>
      <c r="L50" s="179">
        <f t="shared" si="42"/>
        <v>0.50385219095769129</v>
      </c>
      <c r="M50" s="179">
        <f t="shared" si="43"/>
        <v>0.44703208395246885</v>
      </c>
      <c r="N50" s="179">
        <f t="shared" si="44"/>
        <v>0.43923109438773739</v>
      </c>
      <c r="O50" s="179">
        <f t="shared" si="45"/>
        <v>0.43395539604040739</v>
      </c>
      <c r="P50" s="179">
        <f t="shared" si="46"/>
        <v>0.42324343701742773</v>
      </c>
      <c r="Q50" s="162">
        <v>90</v>
      </c>
      <c r="R50" s="163">
        <v>2415.14</v>
      </c>
      <c r="S50" s="163">
        <v>1961.29</v>
      </c>
      <c r="T50" s="163">
        <v>1931.42</v>
      </c>
      <c r="U50" s="163">
        <v>1901.55</v>
      </c>
      <c r="V50" s="163">
        <v>1871.68</v>
      </c>
      <c r="W50" s="163">
        <v>1841.82</v>
      </c>
      <c r="X50" s="164">
        <f t="shared" si="17"/>
        <v>3897.9900000000002</v>
      </c>
      <c r="Y50" s="164">
        <f t="shared" si="18"/>
        <v>3892.5900000000006</v>
      </c>
      <c r="Z50" s="164">
        <f t="shared" si="19"/>
        <v>4320.5400000000009</v>
      </c>
      <c r="AA50" s="164">
        <f t="shared" si="20"/>
        <v>4329.2700000000004</v>
      </c>
      <c r="AB50" s="164">
        <f t="shared" si="21"/>
        <v>4313.0700000000006</v>
      </c>
      <c r="AC50" s="164">
        <f t="shared" si="22"/>
        <v>4351.68</v>
      </c>
      <c r="AD50" s="165">
        <v>4331.1000000000004</v>
      </c>
      <c r="AE50" s="165">
        <v>4325.1000000000004</v>
      </c>
      <c r="AF50" s="165">
        <v>4800.6000000000004</v>
      </c>
      <c r="AG50" s="165">
        <v>4810.3</v>
      </c>
      <c r="AH50" s="165">
        <v>4792.3</v>
      </c>
      <c r="AI50" s="165">
        <v>4835.2</v>
      </c>
      <c r="AJ50" s="166">
        <v>545820</v>
      </c>
      <c r="AK50" s="166">
        <v>450000</v>
      </c>
      <c r="AL50" s="166">
        <v>450000</v>
      </c>
      <c r="AM50" s="166">
        <v>450000</v>
      </c>
      <c r="AN50" s="166">
        <v>450000</v>
      </c>
      <c r="AO50" s="166">
        <v>450000</v>
      </c>
      <c r="AP50" s="2" t="str">
        <f>IFERROR(VLOOKUP(C50,'2_LN_DadosExportados'!V:V,1,FALSE),"")</f>
        <v/>
      </c>
      <c r="AQ50" t="str" cm="1">
        <f t="array" ref="AQ50">IF(AND(ISERR(FIND("sim",INDEX('existencia de wc'!K$2:K$193,MATCH('3_Industrial_Plan_Idash'!C50,'existencia de wc'!B$2:B$192,0))))=FALSE,SUMPRODUCT(('2_LN_DadosExportados'!V$2:V$314='3_Industrial_Plan_Idash'!C50)*('2_LN_DadosExportados'!A$2:A$314="X"))&gt;0), "MOSTRAR","")</f>
        <v/>
      </c>
    </row>
    <row r="51" spans="1:43" ht="15.75" hidden="1" thickBot="1" x14ac:dyDescent="0.3">
      <c r="A51" s="153" t="str">
        <f t="shared" si="10"/>
        <v>INVEST</v>
      </c>
      <c r="B51" s="161" t="s">
        <v>776</v>
      </c>
      <c r="C51" s="161" t="s">
        <v>81</v>
      </c>
      <c r="D51" s="186">
        <v>1</v>
      </c>
      <c r="E51" s="181">
        <f>IFERROR(((SUMIFS('2_LN_DadosExportados'!AL:AL,'2_LN_DadosExportados'!$V:$V,$C51,'2_LN_DadosExportados'!$A:$A,"X")+R51)/X51)*$D51,"")</f>
        <v>0.98377163615093932</v>
      </c>
      <c r="F51" s="181">
        <f>IFERROR(((SUMIFS('2_LN_DadosExportados'!AM:AM,'2_LN_DadosExportados'!$V:$V,$C51,'2_LN_DadosExportados'!$A:$A,"X")+S51)/Y51)*$D51,"")</f>
        <v>1.2155296910283384</v>
      </c>
      <c r="G51" s="181">
        <f>IFERROR(((SUMIFS('2_LN_DadosExportados'!AN:AN,'2_LN_DadosExportados'!$V:$V,$C51,'2_LN_DadosExportados'!$A:$A,"X")+T51)/Z51)*$D51,"")</f>
        <v>1.3046029746281715</v>
      </c>
      <c r="H51" s="181">
        <f>IFERROR(((SUMIFS('2_LN_DadosExportados'!AO:AO,'2_LN_DadosExportados'!$V:$V,$C51,'2_LN_DadosExportados'!$A:$A,"X")+U51)/AA51)*$D51,"")</f>
        <v>1.3958270100963903</v>
      </c>
      <c r="I51" s="181">
        <f>IFERROR(((SUMIFS('2_LN_DadosExportados'!AP:AP,'2_LN_DadosExportados'!$V:$V,$C51,'2_LN_DadosExportados'!$A:$A,"X")+V51)/AB51)*$D51,"")</f>
        <v>1.5642648971614184</v>
      </c>
      <c r="J51" s="181">
        <f>IFERROR(((SUMIFS('2_LN_DadosExportados'!AQ:AQ,'2_LN_DadosExportados'!$V:$V,$C51,'2_LN_DadosExportados'!$A:$A,"X")+W51)/AC51)*$D51,"")</f>
        <v>1.6307825943084051</v>
      </c>
      <c r="K51" s="179">
        <f t="shared" si="41"/>
        <v>0.98377163615093932</v>
      </c>
      <c r="L51" s="179">
        <f t="shared" si="42"/>
        <v>1.2155296910283384</v>
      </c>
      <c r="M51" s="179">
        <f t="shared" si="43"/>
        <v>1.3046029746281715</v>
      </c>
      <c r="N51" s="179">
        <f t="shared" si="44"/>
        <v>1.3958270100963903</v>
      </c>
      <c r="O51" s="179">
        <f t="shared" si="45"/>
        <v>1.5642648971614184</v>
      </c>
      <c r="P51" s="179">
        <f t="shared" si="46"/>
        <v>1.6307825943084051</v>
      </c>
      <c r="Q51" s="162">
        <v>75</v>
      </c>
      <c r="R51" s="163">
        <v>3195.61</v>
      </c>
      <c r="S51" s="163">
        <f>3387.41+555.5556</f>
        <v>3942.9656</v>
      </c>
      <c r="T51" s="163">
        <f>4419.38+277.77778</f>
        <v>4697.1577800000005</v>
      </c>
      <c r="U51" s="163">
        <v>5035.76</v>
      </c>
      <c r="V51" s="163">
        <v>5622.32</v>
      </c>
      <c r="W51" s="163">
        <v>5913.87</v>
      </c>
      <c r="X51" s="164">
        <f t="shared" si="17"/>
        <v>3248.3250000000003</v>
      </c>
      <c r="Y51" s="164">
        <f t="shared" si="18"/>
        <v>3243.8250000000003</v>
      </c>
      <c r="Z51" s="164">
        <f t="shared" si="19"/>
        <v>3600.4500000000003</v>
      </c>
      <c r="AA51" s="164">
        <f t="shared" si="20"/>
        <v>3607.7250000000004</v>
      </c>
      <c r="AB51" s="164">
        <f t="shared" si="21"/>
        <v>3594.2250000000004</v>
      </c>
      <c r="AC51" s="164">
        <f t="shared" si="22"/>
        <v>3626.3999999999996</v>
      </c>
      <c r="AD51" s="165">
        <v>4331.1000000000004</v>
      </c>
      <c r="AE51" s="165">
        <v>4325.1000000000004</v>
      </c>
      <c r="AF51" s="165">
        <v>4800.6000000000004</v>
      </c>
      <c r="AG51" s="165">
        <v>4810.3</v>
      </c>
      <c r="AH51" s="165">
        <v>4792.3</v>
      </c>
      <c r="AI51" s="165">
        <v>4835.2</v>
      </c>
      <c r="AJ51" s="166">
        <v>1312131</v>
      </c>
      <c r="AK51" s="166">
        <v>1255125</v>
      </c>
      <c r="AL51" s="166">
        <v>1531639</v>
      </c>
      <c r="AM51" s="166">
        <v>1737704</v>
      </c>
      <c r="AN51" s="166">
        <v>1940838</v>
      </c>
      <c r="AO51" s="166">
        <v>2045708</v>
      </c>
      <c r="AP51" s="2" t="str">
        <f>IFERROR(VLOOKUP(C51,'2_LN_DadosExportados'!V:V,1,FALSE),"")</f>
        <v/>
      </c>
      <c r="AQ51" t="str" cm="1">
        <f t="array" ref="AQ51">IF(AND(ISERR(FIND("sim",INDEX('existencia de wc'!K$2:K$193,MATCH('3_Industrial_Plan_Idash'!C51,'existencia de wc'!B$2:B$192,0))))=FALSE,SUMPRODUCT(('2_LN_DadosExportados'!V$2:V$314='3_Industrial_Plan_Idash'!C51)*('2_LN_DadosExportados'!A$2:A$314="X"))&gt;0), "MOSTRAR","")</f>
        <v/>
      </c>
    </row>
    <row r="52" spans="1:43" ht="15.75" hidden="1" thickBot="1" x14ac:dyDescent="0.3">
      <c r="A52" s="153" t="str">
        <f t="shared" si="10"/>
        <v>OK</v>
      </c>
      <c r="B52" s="161" t="s">
        <v>779</v>
      </c>
      <c r="C52" s="161" t="s">
        <v>780</v>
      </c>
      <c r="D52" s="186">
        <v>2</v>
      </c>
      <c r="E52" s="181">
        <f>IFERROR(((SUMIFS('2_LN_DadosExportados'!AL:AL,'2_LN_DadosExportados'!$V:$V,$C52,'2_LN_DadosExportados'!$A:$A,"X")+R52)/X52)*$D52,"")</f>
        <v>0.96103684206475648</v>
      </c>
      <c r="F52" s="181">
        <f>IFERROR(((SUMIFS('2_LN_DadosExportados'!AM:AM,'2_LN_DadosExportados'!$V:$V,$C52,'2_LN_DadosExportados'!$A:$A,"X")+S52)/Y52)*$D52,"")</f>
        <v>1.6221436113230521</v>
      </c>
      <c r="G52" s="181">
        <f>IFERROR(((SUMIFS('2_LN_DadosExportados'!AN:AN,'2_LN_DadosExportados'!$V:$V,$C52,'2_LN_DadosExportados'!$A:$A,"X")+T52)/Z52)*$D52,"")</f>
        <v>1.4392145426266159</v>
      </c>
      <c r="H52" s="181">
        <f>IFERROR(((SUMIFS('2_LN_DadosExportados'!AO:AO,'2_LN_DadosExportados'!$V:$V,$C52,'2_LN_DadosExportados'!$A:$A,"X")+U52)/AA52)*$D52,"")</f>
        <v>1.4140961409198316</v>
      </c>
      <c r="I52" s="181">
        <f>IFERROR(((SUMIFS('2_LN_DadosExportados'!AP:AP,'2_LN_DadosExportados'!$V:$V,$C52,'2_LN_DadosExportados'!$A:$A,"X")+V52)/AB52)*$D52,"")</f>
        <v>1.3971162072491288</v>
      </c>
      <c r="J52" s="181">
        <f>IFERROR(((SUMIFS('2_LN_DadosExportados'!AQ:AQ,'2_LN_DadosExportados'!$V:$V,$C52,'2_LN_DadosExportados'!$A:$A,"X")+W52)/AC52)*$D52,"")</f>
        <v>1.3626268475623209</v>
      </c>
      <c r="K52" s="179">
        <f t="shared" si="41"/>
        <v>0.96103684206475648</v>
      </c>
      <c r="L52" s="179">
        <f t="shared" si="42"/>
        <v>1.6221436113230521</v>
      </c>
      <c r="M52" s="179">
        <f t="shared" si="43"/>
        <v>1.4392145426266159</v>
      </c>
      <c r="N52" s="179">
        <f t="shared" si="44"/>
        <v>1.4140961409198316</v>
      </c>
      <c r="O52" s="179">
        <f t="shared" si="45"/>
        <v>1.3971162072491288</v>
      </c>
      <c r="P52" s="179">
        <f t="shared" si="46"/>
        <v>1.3626268475623209</v>
      </c>
      <c r="Q52" s="162">
        <v>75</v>
      </c>
      <c r="R52" s="163">
        <v>3121.76</v>
      </c>
      <c r="S52" s="163">
        <v>5261.95</v>
      </c>
      <c r="T52" s="163">
        <v>5181.82</v>
      </c>
      <c r="U52" s="163">
        <v>5101.67</v>
      </c>
      <c r="V52" s="163">
        <v>5021.55</v>
      </c>
      <c r="W52" s="163">
        <v>4941.43</v>
      </c>
      <c r="X52" s="164">
        <f t="shared" si="17"/>
        <v>6496.6500000000005</v>
      </c>
      <c r="Y52" s="164">
        <f t="shared" si="18"/>
        <v>6487.6500000000005</v>
      </c>
      <c r="Z52" s="164">
        <f t="shared" si="19"/>
        <v>7200.9000000000005</v>
      </c>
      <c r="AA52" s="164">
        <f t="shared" si="20"/>
        <v>7215.4500000000007</v>
      </c>
      <c r="AB52" s="164">
        <f t="shared" si="21"/>
        <v>7188.4500000000007</v>
      </c>
      <c r="AC52" s="164">
        <f t="shared" si="22"/>
        <v>7252.7999999999993</v>
      </c>
      <c r="AD52" s="165">
        <v>8662.2000000000007</v>
      </c>
      <c r="AE52" s="165">
        <v>8650.2000000000007</v>
      </c>
      <c r="AF52" s="165">
        <v>9601.2000000000007</v>
      </c>
      <c r="AG52" s="165">
        <v>9620.6</v>
      </c>
      <c r="AH52" s="165">
        <v>9584.6</v>
      </c>
      <c r="AI52" s="165">
        <v>9670.4</v>
      </c>
      <c r="AJ52" s="166">
        <v>624350</v>
      </c>
      <c r="AK52" s="166">
        <v>1065787</v>
      </c>
      <c r="AL52" s="166">
        <v>1065787</v>
      </c>
      <c r="AM52" s="166">
        <v>1065787</v>
      </c>
      <c r="AN52" s="166">
        <v>1065787</v>
      </c>
      <c r="AO52" s="166">
        <v>1065787</v>
      </c>
      <c r="AP52" s="2" t="str">
        <f>IFERROR(VLOOKUP(C52,'2_LN_DadosExportados'!V:V,1,FALSE),"")</f>
        <v/>
      </c>
      <c r="AQ52" t="str" cm="1">
        <f t="array" ref="AQ52">IF(AND(ISERR(FIND("sim",INDEX('existencia de wc'!K$2:K$193,MATCH('3_Industrial_Plan_Idash'!C52,'existencia de wc'!B$2:B$192,0))))=FALSE,SUMPRODUCT(('2_LN_DadosExportados'!V$2:V$314='3_Industrial_Plan_Idash'!C52)*('2_LN_DadosExportados'!A$2:A$314="X"))&gt;0), "MOSTRAR","")</f>
        <v/>
      </c>
    </row>
    <row r="53" spans="1:43" ht="15.75" hidden="1" thickBot="1" x14ac:dyDescent="0.3">
      <c r="A53" s="153" t="str">
        <f t="shared" si="10"/>
        <v>OK</v>
      </c>
      <c r="B53" s="161" t="s">
        <v>781</v>
      </c>
      <c r="C53" s="161" t="s">
        <v>128</v>
      </c>
      <c r="D53" s="186">
        <v>2</v>
      </c>
      <c r="E53" s="181">
        <f>IFERROR(((SUMIFS('2_LN_DadosExportados'!AL:AL,'2_LN_DadosExportados'!$V:$V,$C53,'2_LN_DadosExportados'!$A:$A,"X")+R53)/X53)*$D53,"")</f>
        <v>0.82352904958709483</v>
      </c>
      <c r="F53" s="181">
        <f>IFERROR(((SUMIFS('2_LN_DadosExportados'!AM:AM,'2_LN_DadosExportados'!$V:$V,$C53,'2_LN_DadosExportados'!$A:$A,"X")+S53)/Y53)*$D53,"")</f>
        <v>1.4878268710550044</v>
      </c>
      <c r="G53" s="181">
        <f>IFERROR(((SUMIFS('2_LN_DadosExportados'!AN:AN,'2_LN_DadosExportados'!$V:$V,$C53,'2_LN_DadosExportados'!$A:$A,"X")+T53)/Z53)*$D53,"")</f>
        <v>1.3200433279173436</v>
      </c>
      <c r="H53" s="181">
        <f>IFERROR(((SUMIFS('2_LN_DadosExportados'!AO:AO,'2_LN_DadosExportados'!$V:$V,$C53,'2_LN_DadosExportados'!$A:$A,"X")+U53)/AA53)*$D53,"")</f>
        <v>1.2970057307583032</v>
      </c>
      <c r="I53" s="181">
        <f>IFERROR(((SUMIFS('2_LN_DadosExportados'!AP:AP,'2_LN_DadosExportados'!$V:$V,$C53,'2_LN_DadosExportados'!$A:$A,"X")+V53)/AB53)*$D53,"")</f>
        <v>1.2814361927814759</v>
      </c>
      <c r="J53" s="181">
        <f>IFERROR(((SUMIFS('2_LN_DadosExportados'!AQ:AQ,'2_LN_DadosExportados'!$V:$V,$C53,'2_LN_DadosExportados'!$A:$A,"X")+W53)/AC53)*$D53,"")</f>
        <v>1.2497959408780059</v>
      </c>
      <c r="K53" s="179">
        <f t="shared" si="41"/>
        <v>0.82352904958709483</v>
      </c>
      <c r="L53" s="179">
        <f t="shared" si="42"/>
        <v>1.4878268710550044</v>
      </c>
      <c r="M53" s="179">
        <f t="shared" si="43"/>
        <v>1.3200433279173436</v>
      </c>
      <c r="N53" s="179">
        <f t="shared" si="44"/>
        <v>1.2970057307583032</v>
      </c>
      <c r="O53" s="179">
        <f t="shared" si="45"/>
        <v>1.2814361927814759</v>
      </c>
      <c r="P53" s="179">
        <f t="shared" si="46"/>
        <v>1.2497959408780059</v>
      </c>
      <c r="Q53" s="162">
        <v>75</v>
      </c>
      <c r="R53" s="163">
        <v>2675.09</v>
      </c>
      <c r="S53" s="163">
        <v>4826.25</v>
      </c>
      <c r="T53" s="163">
        <v>4752.75</v>
      </c>
      <c r="U53" s="163">
        <v>4679.24</v>
      </c>
      <c r="V53" s="163">
        <v>4605.7700000000004</v>
      </c>
      <c r="W53" s="163">
        <v>4532.26</v>
      </c>
      <c r="X53" s="164">
        <f t="shared" si="17"/>
        <v>6496.6500000000005</v>
      </c>
      <c r="Y53" s="164">
        <f t="shared" si="18"/>
        <v>6487.6500000000005</v>
      </c>
      <c r="Z53" s="164">
        <f t="shared" si="19"/>
        <v>7200.9000000000005</v>
      </c>
      <c r="AA53" s="164">
        <f t="shared" si="20"/>
        <v>7215.4500000000007</v>
      </c>
      <c r="AB53" s="164">
        <f t="shared" si="21"/>
        <v>7188.4500000000007</v>
      </c>
      <c r="AC53" s="164">
        <f t="shared" si="22"/>
        <v>7252.7999999999993</v>
      </c>
      <c r="AD53" s="165">
        <v>8662.2000000000007</v>
      </c>
      <c r="AE53" s="165">
        <v>8650.2000000000007</v>
      </c>
      <c r="AF53" s="165">
        <v>9601.2000000000007</v>
      </c>
      <c r="AG53" s="165">
        <v>9620.6</v>
      </c>
      <c r="AH53" s="165">
        <v>9584.6</v>
      </c>
      <c r="AI53" s="165">
        <v>9670.4</v>
      </c>
      <c r="AJ53" s="166">
        <v>820942</v>
      </c>
      <c r="AK53" s="166">
        <v>1470270</v>
      </c>
      <c r="AL53" s="166">
        <v>1470270</v>
      </c>
      <c r="AM53" s="166">
        <v>1470270</v>
      </c>
      <c r="AN53" s="166">
        <v>1470270</v>
      </c>
      <c r="AO53" s="166">
        <v>1470270</v>
      </c>
      <c r="AP53" s="2" t="str">
        <f>IFERROR(VLOOKUP(C53,'2_LN_DadosExportados'!V:V,1,FALSE),"")</f>
        <v/>
      </c>
      <c r="AQ53" t="str" cm="1">
        <f t="array" ref="AQ53">IF(AND(ISERR(FIND("sim",INDEX('existencia de wc'!K$2:K$193,MATCH('3_Industrial_Plan_Idash'!C53,'existencia de wc'!B$2:B$192,0))))=FALSE,SUMPRODUCT(('2_LN_DadosExportados'!V$2:V$314='3_Industrial_Plan_Idash'!C53)*('2_LN_DadosExportados'!A$2:A$314="X"))&gt;0), "MOSTRAR","")</f>
        <v/>
      </c>
    </row>
    <row r="54" spans="1:43" ht="15.75" hidden="1" thickBot="1" x14ac:dyDescent="0.3">
      <c r="A54" s="153" t="str">
        <f t="shared" si="10"/>
        <v>OK</v>
      </c>
      <c r="B54" s="161" t="s">
        <v>782</v>
      </c>
      <c r="C54" s="161" t="s">
        <v>783</v>
      </c>
      <c r="D54" s="186">
        <v>1</v>
      </c>
      <c r="E54" s="181">
        <f>IFERROR(((SUMIFS('2_LN_DadosExportados'!AL:AL,'2_LN_DadosExportados'!$V:$V,$C54,'2_LN_DadosExportados'!$A:$A,"X")+R54)/X54)*$D54,"")</f>
        <v>0.23747984585240292</v>
      </c>
      <c r="F54" s="181">
        <f>IFERROR(((SUMIFS('2_LN_DadosExportados'!AM:AM,'2_LN_DadosExportados'!$V:$V,$C54,'2_LN_DadosExportados'!$A:$A,"X")+S54)/Y54)*$D54,"")</f>
        <v>3.8392946598537217E-2</v>
      </c>
      <c r="G54" s="181">
        <f>IFERROR(((SUMIFS('2_LN_DadosExportados'!AN:AN,'2_LN_DadosExportados'!$V:$V,$C54,'2_LN_DadosExportados'!$A:$A,"X")+T54)/Z54)*$D54,"")</f>
        <v>3.3940098383112981E-2</v>
      </c>
      <c r="H54" s="181">
        <f>IFERROR(((SUMIFS('2_LN_DadosExportados'!AO:AO,'2_LN_DadosExportados'!$V:$V,$C54,'2_LN_DadosExportados'!$A:$A,"X")+U54)/AA54)*$D54,"")</f>
        <v>3.3467074125660905E-2</v>
      </c>
      <c r="I54" s="181">
        <f>IFERROR(((SUMIFS('2_LN_DadosExportados'!AP:AP,'2_LN_DadosExportados'!$V:$V,$C54,'2_LN_DadosExportados'!$A:$A,"X")+V54)/AB54)*$D54,"")</f>
        <v>3.2947992903082722E-2</v>
      </c>
      <c r="J54" s="181">
        <f>IFERROR(((SUMIFS('2_LN_DadosExportados'!AQ:AQ,'2_LN_DadosExportados'!$V:$V,$C54,'2_LN_DadosExportados'!$A:$A,"X")+W54)/AC54)*$D54,"")</f>
        <v>3.2134638502490126E-2</v>
      </c>
      <c r="K54" s="179">
        <f t="shared" si="41"/>
        <v>0.23747984585240292</v>
      </c>
      <c r="L54" s="179">
        <f t="shared" si="42"/>
        <v>3.8392946598537217E-2</v>
      </c>
      <c r="M54" s="179">
        <f t="shared" si="43"/>
        <v>3.3940098383112981E-2</v>
      </c>
      <c r="N54" s="179">
        <f t="shared" si="44"/>
        <v>3.3467074125660905E-2</v>
      </c>
      <c r="O54" s="179">
        <f t="shared" si="45"/>
        <v>3.2947992903082722E-2</v>
      </c>
      <c r="P54" s="179">
        <f t="shared" si="46"/>
        <v>3.2134638502490126E-2</v>
      </c>
      <c r="Q54" s="162">
        <v>75</v>
      </c>
      <c r="R54" s="163">
        <v>821.14</v>
      </c>
      <c r="S54" s="163">
        <v>124.54</v>
      </c>
      <c r="T54" s="163">
        <v>122.64</v>
      </c>
      <c r="U54" s="163">
        <v>120.74</v>
      </c>
      <c r="V54" s="163">
        <v>118.85</v>
      </c>
      <c r="W54" s="163">
        <v>116.95</v>
      </c>
      <c r="X54" s="164">
        <f t="shared" si="17"/>
        <v>3457.7250000000004</v>
      </c>
      <c r="Y54" s="164">
        <f t="shared" si="18"/>
        <v>3243.8250000000003</v>
      </c>
      <c r="Z54" s="164">
        <f t="shared" si="19"/>
        <v>3613.4249999999997</v>
      </c>
      <c r="AA54" s="164">
        <f t="shared" si="20"/>
        <v>3607.7250000000004</v>
      </c>
      <c r="AB54" s="164">
        <f t="shared" si="21"/>
        <v>3607.2000000000003</v>
      </c>
      <c r="AC54" s="164">
        <f t="shared" si="22"/>
        <v>3639.375</v>
      </c>
      <c r="AD54" s="165">
        <v>4610.3</v>
      </c>
      <c r="AE54" s="165">
        <v>4325.1000000000004</v>
      </c>
      <c r="AF54" s="165">
        <v>4817.8999999999996</v>
      </c>
      <c r="AG54" s="165">
        <v>4810.3</v>
      </c>
      <c r="AH54" s="165">
        <v>4809.6000000000004</v>
      </c>
      <c r="AI54" s="165">
        <v>4852.5</v>
      </c>
      <c r="AJ54" s="166">
        <v>295020</v>
      </c>
      <c r="AK54" s="166">
        <v>45425</v>
      </c>
      <c r="AL54" s="166">
        <v>45425</v>
      </c>
      <c r="AM54" s="166">
        <v>45425</v>
      </c>
      <c r="AN54" s="166">
        <v>45425</v>
      </c>
      <c r="AO54" s="166">
        <v>45425</v>
      </c>
      <c r="AP54" s="2" t="str">
        <f>IFERROR(VLOOKUP(C54,'2_LN_DadosExportados'!V:V,1,FALSE),"")</f>
        <v/>
      </c>
      <c r="AQ54" t="str" cm="1">
        <f t="array" ref="AQ54">IF(AND(ISERR(FIND("sim",INDEX('existencia de wc'!K$2:K$193,MATCH('3_Industrial_Plan_Idash'!C54,'existencia de wc'!B$2:B$192,0))))=FALSE,SUMPRODUCT(('2_LN_DadosExportados'!V$2:V$314='3_Industrial_Plan_Idash'!C54)*('2_LN_DadosExportados'!A$2:A$314="X"))&gt;0), "MOSTRAR","")</f>
        <v/>
      </c>
    </row>
    <row r="55" spans="1:43" ht="15.75" hidden="1" thickBot="1" x14ac:dyDescent="0.3">
      <c r="A55" s="153" t="str">
        <f t="shared" si="10"/>
        <v>OK</v>
      </c>
      <c r="B55" s="161" t="s">
        <v>784</v>
      </c>
      <c r="C55" s="161" t="s">
        <v>785</v>
      </c>
      <c r="D55" s="186">
        <v>1</v>
      </c>
      <c r="E55" s="181">
        <f>IFERROR(((SUMIFS('2_LN_DadosExportados'!AL:AL,'2_LN_DadosExportados'!$V:$V,$C55,'2_LN_DadosExportados'!$A:$A,"X")+R55)/X55)*$D55,"")</f>
        <v>0.22816990294998188</v>
      </c>
      <c r="F55" s="181">
        <f>IFERROR(((SUMIFS('2_LN_DadosExportados'!AM:AM,'2_LN_DadosExportados'!$V:$V,$C55,'2_LN_DadosExportados'!$A:$A,"X")+S55)/Y55)*$D55,"")</f>
        <v>0.16237004154046536</v>
      </c>
      <c r="G55" s="181">
        <f>IFERROR(((SUMIFS('2_LN_DadosExportados'!AN:AN,'2_LN_DadosExportados'!$V:$V,$C55,'2_LN_DadosExportados'!$A:$A,"X")+T55)/Z55)*$D55,"")</f>
        <v>0.14405977030648945</v>
      </c>
      <c r="H55" s="181">
        <f>IFERROR(((SUMIFS('2_LN_DadosExportados'!AO:AO,'2_LN_DadosExportados'!$V:$V,$C55,'2_LN_DadosExportados'!$A:$A,"X")+U55)/AA55)*$D55,"")</f>
        <v>0.14154626530569819</v>
      </c>
      <c r="I55" s="181">
        <f>IFERROR(((SUMIFS('2_LN_DadosExportados'!AP:AP,'2_LN_DadosExportados'!$V:$V,$C55,'2_LN_DadosExportados'!$A:$A,"X")+V55)/AB55)*$D55,"")</f>
        <v>0.1398465594112778</v>
      </c>
      <c r="J55" s="181">
        <f>IFERROR(((SUMIFS('2_LN_DadosExportados'!AQ:AQ,'2_LN_DadosExportados'!$V:$V,$C55,'2_LN_DadosExportados'!$A:$A,"X")+W55)/AC55)*$D55,"")</f>
        <v>0.13639422016324732</v>
      </c>
      <c r="K55" s="179">
        <f t="shared" si="41"/>
        <v>0.22816990294998188</v>
      </c>
      <c r="L55" s="179">
        <f t="shared" si="42"/>
        <v>0.16237004154046536</v>
      </c>
      <c r="M55" s="179">
        <f t="shared" si="43"/>
        <v>0.14405977030648945</v>
      </c>
      <c r="N55" s="179">
        <f t="shared" si="44"/>
        <v>0.14154626530569819</v>
      </c>
      <c r="O55" s="179">
        <f t="shared" si="45"/>
        <v>0.1398465594112778</v>
      </c>
      <c r="P55" s="179">
        <f t="shared" si="46"/>
        <v>0.13639422016324732</v>
      </c>
      <c r="Q55" s="162">
        <v>75</v>
      </c>
      <c r="R55" s="163">
        <v>741.17</v>
      </c>
      <c r="S55" s="163">
        <v>526.70000000000005</v>
      </c>
      <c r="T55" s="163">
        <v>518.67999999999995</v>
      </c>
      <c r="U55" s="163">
        <v>510.66</v>
      </c>
      <c r="V55" s="163">
        <v>502.64</v>
      </c>
      <c r="W55" s="163">
        <v>494.62</v>
      </c>
      <c r="X55" s="164">
        <f t="shared" si="17"/>
        <v>3248.3250000000003</v>
      </c>
      <c r="Y55" s="164">
        <f t="shared" si="18"/>
        <v>3243.8250000000003</v>
      </c>
      <c r="Z55" s="164">
        <f t="shared" si="19"/>
        <v>3600.4500000000003</v>
      </c>
      <c r="AA55" s="164">
        <f t="shared" si="20"/>
        <v>3607.7250000000004</v>
      </c>
      <c r="AB55" s="164">
        <f t="shared" si="21"/>
        <v>3594.2250000000004</v>
      </c>
      <c r="AC55" s="164">
        <f t="shared" si="22"/>
        <v>3626.3999999999996</v>
      </c>
      <c r="AD55" s="165">
        <v>4331.1000000000004</v>
      </c>
      <c r="AE55" s="165">
        <v>4325.1000000000004</v>
      </c>
      <c r="AF55" s="165">
        <v>4800.6000000000004</v>
      </c>
      <c r="AG55" s="165">
        <v>4810.3</v>
      </c>
      <c r="AH55" s="165">
        <v>4792.3</v>
      </c>
      <c r="AI55" s="165">
        <v>4835.2</v>
      </c>
      <c r="AJ55" s="166">
        <v>106728</v>
      </c>
      <c r="AK55" s="166">
        <v>77000</v>
      </c>
      <c r="AL55" s="166">
        <v>77000</v>
      </c>
      <c r="AM55" s="166">
        <v>77000</v>
      </c>
      <c r="AN55" s="166">
        <v>77000</v>
      </c>
      <c r="AO55" s="166">
        <v>77000</v>
      </c>
      <c r="AP55" s="2" t="str">
        <f>IFERROR(VLOOKUP(C55,'2_LN_DadosExportados'!V:V,1,FALSE),"")</f>
        <v/>
      </c>
      <c r="AQ55" t="str" cm="1">
        <f t="array" ref="AQ55">IF(AND(ISERR(FIND("sim",INDEX('existencia de wc'!K$2:K$193,MATCH('3_Industrial_Plan_Idash'!C55,'existencia de wc'!B$2:B$192,0))))=FALSE,SUMPRODUCT(('2_LN_DadosExportados'!V$2:V$314='3_Industrial_Plan_Idash'!C55)*('2_LN_DadosExportados'!A$2:A$314="X"))&gt;0), "MOSTRAR","")</f>
        <v/>
      </c>
    </row>
    <row r="56" spans="1:43" ht="15.75" hidden="1" thickBot="1" x14ac:dyDescent="0.3">
      <c r="A56" s="153" t="str">
        <f t="shared" si="10"/>
        <v>OK</v>
      </c>
      <c r="B56" s="161" t="s">
        <v>786</v>
      </c>
      <c r="C56" s="161" t="s">
        <v>100</v>
      </c>
      <c r="D56" s="186">
        <v>1</v>
      </c>
      <c r="E56" s="181">
        <f>IFERROR(((SUMIFS('2_LN_DadosExportados'!AL:AL,'2_LN_DadosExportados'!$V:$V,$C56,'2_LN_DadosExportados'!$A:$A,"X")+R56)/X56)*$D56,"")</f>
        <v>6.3567808313269554E-3</v>
      </c>
      <c r="F56" s="181">
        <f>IFERROR(((SUMIFS('2_LN_DadosExportados'!AM:AM,'2_LN_DadosExportados'!$V:$V,$C56,'2_LN_DadosExportados'!$A:$A,"X")+S56)/Y56)*$D56,"")</f>
        <v>1.0487618783380731E-2</v>
      </c>
      <c r="G56" s="181">
        <f>IFERROR(((SUMIFS('2_LN_DadosExportados'!AN:AN,'2_LN_DadosExportados'!$V:$V,$C56,'2_LN_DadosExportados'!$A:$A,"X")+T56)/Z56)*$D56,"")</f>
        <v>0.43416426243799167</v>
      </c>
      <c r="H56" s="181">
        <f>IFERROR(((SUMIFS('2_LN_DadosExportados'!AO:AO,'2_LN_DadosExportados'!$V:$V,$C56,'2_LN_DadosExportados'!$A:$A,"X")+U56)/AA56)*$D56,"")</f>
        <v>0.57009888503142558</v>
      </c>
      <c r="I56" s="181">
        <f>IFERROR(((SUMIFS('2_LN_DadosExportados'!AP:AP,'2_LN_DadosExportados'!$V:$V,$C56,'2_LN_DadosExportados'!$A:$A,"X")+V56)/AB56)*$D56,"")</f>
        <v>0.70099245952539357</v>
      </c>
      <c r="J56" s="181">
        <f>IFERROR(((SUMIFS('2_LN_DadosExportados'!AQ:AQ,'2_LN_DadosExportados'!$V:$V,$C56,'2_LN_DadosExportados'!$A:$A,"X")+W56)/AC56)*$D56,"")</f>
        <v>0.82002541645200067</v>
      </c>
      <c r="K56" s="179">
        <f>IFERROR(R56/X56*$D56,"")</f>
        <v>6.3567808313269554E-3</v>
      </c>
      <c r="L56" s="179">
        <f t="shared" si="42"/>
        <v>1.0487618783380731E-2</v>
      </c>
      <c r="M56" s="179">
        <f t="shared" si="43"/>
        <v>0.43416426243799167</v>
      </c>
      <c r="N56" s="179">
        <f t="shared" si="44"/>
        <v>0.57009888503142558</v>
      </c>
      <c r="O56" s="179">
        <f t="shared" si="45"/>
        <v>0.70099245952539357</v>
      </c>
      <c r="P56" s="179">
        <f t="shared" si="46"/>
        <v>0.82002541645200067</v>
      </c>
      <c r="Q56" s="162">
        <v>75</v>
      </c>
      <c r="R56" s="163">
        <v>21.98</v>
      </c>
      <c r="S56" s="163">
        <v>34.020000000000003</v>
      </c>
      <c r="T56" s="163">
        <v>1568.82</v>
      </c>
      <c r="U56" s="163">
        <v>2056.7600000000002</v>
      </c>
      <c r="V56" s="163">
        <v>2528.62</v>
      </c>
      <c r="W56" s="163">
        <v>2984.38</v>
      </c>
      <c r="X56" s="164">
        <f t="shared" si="17"/>
        <v>3457.7250000000004</v>
      </c>
      <c r="Y56" s="164">
        <f t="shared" si="18"/>
        <v>3243.8250000000003</v>
      </c>
      <c r="Z56" s="164">
        <f t="shared" si="19"/>
        <v>3613.4249999999997</v>
      </c>
      <c r="AA56" s="164">
        <f t="shared" si="20"/>
        <v>3607.7250000000004</v>
      </c>
      <c r="AB56" s="164">
        <f t="shared" si="21"/>
        <v>3607.2000000000003</v>
      </c>
      <c r="AC56" s="164">
        <f t="shared" si="22"/>
        <v>3639.375</v>
      </c>
      <c r="AD56" s="165">
        <v>4610.3</v>
      </c>
      <c r="AE56" s="165">
        <v>4325.1000000000004</v>
      </c>
      <c r="AF56" s="165">
        <v>4817.8999999999996</v>
      </c>
      <c r="AG56" s="165">
        <v>4810.3</v>
      </c>
      <c r="AH56" s="165">
        <v>4809.6000000000004</v>
      </c>
      <c r="AI56" s="165">
        <v>4852.5</v>
      </c>
      <c r="AJ56" s="166">
        <v>2000</v>
      </c>
      <c r="AK56" s="166">
        <v>3668</v>
      </c>
      <c r="AL56" s="166">
        <v>179358</v>
      </c>
      <c r="AM56" s="166">
        <v>238892</v>
      </c>
      <c r="AN56" s="166">
        <v>298426</v>
      </c>
      <c r="AO56" s="166">
        <v>357959</v>
      </c>
      <c r="AP56" s="2" t="str">
        <f>IFERROR(VLOOKUP(C56,'2_LN_DadosExportados'!V:V,1,FALSE),"")</f>
        <v/>
      </c>
      <c r="AQ56" t="str" cm="1">
        <f t="array" ref="AQ56">IF(AND(ISERR(FIND("sim",INDEX('existencia de wc'!K$2:K$193,MATCH('3_Industrial_Plan_Idash'!C56,'existencia de wc'!B$2:B$192,0))))=FALSE,SUMPRODUCT(('2_LN_DadosExportados'!V$2:V$314='3_Industrial_Plan_Idash'!C56)*('2_LN_DadosExportados'!A$2:A$314="X"))&gt;0), "MOSTRAR","")</f>
        <v/>
      </c>
    </row>
    <row r="57" spans="1:43" ht="15.75" hidden="1" thickBot="1" x14ac:dyDescent="0.3">
      <c r="A57" s="153" t="str">
        <f t="shared" si="10"/>
        <v>OK</v>
      </c>
      <c r="B57" s="161" t="s">
        <v>787</v>
      </c>
      <c r="C57" s="161" t="s">
        <v>49</v>
      </c>
      <c r="D57" s="186">
        <v>4</v>
      </c>
      <c r="E57" s="181">
        <f>IFERROR(((SUMIFS('2_LN_DadosExportados'!AL:AL,'2_LN_DadosExportados'!$V:$V,$C57,'2_LN_DadosExportados'!$A:$A,"X")+R57)/X57)*$D57,"")</f>
        <v>1.1704109040813342</v>
      </c>
      <c r="F57" s="181">
        <f>IFERROR(((SUMIFS('2_LN_DadosExportados'!AM:AM,'2_LN_DadosExportados'!$V:$V,$C57,'2_LN_DadosExportados'!$A:$A,"X")+S57)/Y57)*$D57,"")</f>
        <v>1.2985647088442396</v>
      </c>
      <c r="G57" s="181">
        <f>IFERROR(((SUMIFS('2_LN_DadosExportados'!AN:AN,'2_LN_DadosExportados'!$V:$V,$C57,'2_LN_DadosExportados'!$A:$A,"X")+T57)/Z57)*$D57,"")</f>
        <v>1.1815953561360384</v>
      </c>
      <c r="H57" s="181">
        <f>IFERROR(((SUMIFS('2_LN_DadosExportados'!AO:AO,'2_LN_DadosExportados'!$V:$V,$C57,'2_LN_DadosExportados'!$A:$A,"X")+U57)/AA57)*$D57,"")</f>
        <v>1.2325057111245084</v>
      </c>
      <c r="I57" s="181">
        <f>IFERROR(((SUMIFS('2_LN_DadosExportados'!AP:AP,'2_LN_DadosExportados'!$V:$V,$C57,'2_LN_DadosExportados'!$A:$A,"X")+V57)/AB57)*$D57,"")</f>
        <v>1.2873359347286271</v>
      </c>
      <c r="J57" s="181">
        <f>IFERROR(((SUMIFS('2_LN_DadosExportados'!AQ:AQ,'2_LN_DadosExportados'!$V:$V,$C57,'2_LN_DadosExportados'!$A:$A,"X")+W57)/AC57)*$D57,"")</f>
        <v>1.2793748621222147</v>
      </c>
      <c r="K57" s="179">
        <f t="shared" si="41"/>
        <v>1.1704109040813342</v>
      </c>
      <c r="L57" s="179">
        <f t="shared" si="42"/>
        <v>1.2985647088442396</v>
      </c>
      <c r="M57" s="179">
        <f t="shared" si="43"/>
        <v>1.1815953561360384</v>
      </c>
      <c r="N57" s="179">
        <f t="shared" si="44"/>
        <v>1.2325057111245084</v>
      </c>
      <c r="O57" s="179">
        <f t="shared" si="45"/>
        <v>1.2873359347286271</v>
      </c>
      <c r="P57" s="179">
        <f t="shared" si="46"/>
        <v>1.2793748621222147</v>
      </c>
      <c r="Q57" s="162">
        <v>90</v>
      </c>
      <c r="R57" s="163">
        <v>4562.25</v>
      </c>
      <c r="S57" s="163">
        <v>5054.78</v>
      </c>
      <c r="T57" s="163">
        <v>5105.13</v>
      </c>
      <c r="U57" s="163">
        <v>5335.85</v>
      </c>
      <c r="V57" s="163">
        <v>5552.37</v>
      </c>
      <c r="W57" s="163">
        <v>5567.43</v>
      </c>
      <c r="X57" s="164">
        <f t="shared" si="17"/>
        <v>15591.960000000001</v>
      </c>
      <c r="Y57" s="164">
        <f t="shared" si="18"/>
        <v>15570.360000000002</v>
      </c>
      <c r="Z57" s="164">
        <f t="shared" si="19"/>
        <v>17282.160000000003</v>
      </c>
      <c r="AA57" s="164">
        <f t="shared" si="20"/>
        <v>17317.080000000002</v>
      </c>
      <c r="AB57" s="164">
        <f t="shared" si="21"/>
        <v>17252.280000000002</v>
      </c>
      <c r="AC57" s="164">
        <f t="shared" si="22"/>
        <v>17406.72</v>
      </c>
      <c r="AD57" s="165">
        <v>17324.400000000001</v>
      </c>
      <c r="AE57" s="165">
        <v>17300.400000000001</v>
      </c>
      <c r="AF57" s="165">
        <v>19202.400000000001</v>
      </c>
      <c r="AG57" s="165">
        <v>19241.2</v>
      </c>
      <c r="AH57" s="165">
        <v>19169.2</v>
      </c>
      <c r="AI57" s="165">
        <v>19340.8</v>
      </c>
      <c r="AJ57" s="166">
        <v>17285097.52</v>
      </c>
      <c r="AK57" s="166">
        <v>14368871</v>
      </c>
      <c r="AL57" s="166">
        <v>14577078</v>
      </c>
      <c r="AM57" s="166">
        <v>14924532</v>
      </c>
      <c r="AN57" s="166">
        <v>15270835</v>
      </c>
      <c r="AO57" s="166">
        <v>15430967</v>
      </c>
      <c r="AP57" s="2" t="str">
        <f>IFERROR(VLOOKUP(C57,'2_LN_DadosExportados'!V:V,1,FALSE),"")</f>
        <v>WC - Oleamento</v>
      </c>
      <c r="AQ57" t="str" cm="1">
        <f t="array" ref="AQ57">IF(AND(ISERR(FIND("sim",INDEX('existencia de wc'!K$2:K$193,MATCH('3_Industrial_Plan_Idash'!C57,'existencia de wc'!B$2:B$192,0))))=FALSE,SUMPRODUCT(('2_LN_DadosExportados'!V$2:V$314='3_Industrial_Plan_Idash'!C57)*('2_LN_DadosExportados'!A$2:A$314="X"))&gt;0), "MOSTRAR","")</f>
        <v/>
      </c>
    </row>
    <row r="58" spans="1:43" ht="15.75" hidden="1" thickBot="1" x14ac:dyDescent="0.3">
      <c r="A58" s="153" t="str">
        <f t="shared" si="10"/>
        <v>OK</v>
      </c>
      <c r="B58" s="161" t="s">
        <v>788</v>
      </c>
      <c r="C58" s="161" t="s">
        <v>125</v>
      </c>
      <c r="D58" s="186">
        <v>1</v>
      </c>
      <c r="E58" s="181">
        <f>IFERROR(((SUMIFS('2_LN_DadosExportados'!AL:AL,'2_LN_DadosExportados'!$V:$V,$C58,'2_LN_DadosExportados'!$A:$A,"X")+R58)/X58)*$D58,"")</f>
        <v>0.32417027573524976</v>
      </c>
      <c r="F58" s="181">
        <f>IFERROR(((SUMIFS('2_LN_DadosExportados'!AM:AM,'2_LN_DadosExportados'!$V:$V,$C58,'2_LN_DadosExportados'!$A:$A,"X")+S58)/Y58)*$D58,"")</f>
        <v>0.30914121446132259</v>
      </c>
      <c r="G58" s="181">
        <f>IFERROR(((SUMIFS('2_LN_DadosExportados'!AN:AN,'2_LN_DadosExportados'!$V:$V,$C58,'2_LN_DadosExportados'!$A:$A,"X")+T58)/Z58)*$D58,"")</f>
        <v>0.27289667466923118</v>
      </c>
      <c r="H58" s="181">
        <f>IFERROR(((SUMIFS('2_LN_DadosExportados'!AO:AO,'2_LN_DadosExportados'!$V:$V,$C58,'2_LN_DadosExportados'!$A:$A,"X")+U58)/AA58)*$D58,"")</f>
        <v>0.26870811938271344</v>
      </c>
      <c r="I58" s="181">
        <f>IFERROR(((SUMIFS('2_LN_DadosExportados'!AP:AP,'2_LN_DadosExportados'!$V:$V,$C58,'2_LN_DadosExportados'!$A:$A,"X")+V58)/AB58)*$D58,"")</f>
        <v>0.264129149109189</v>
      </c>
      <c r="J58" s="181">
        <f>IFERROR(((SUMIFS('2_LN_DadosExportados'!AQ:AQ,'2_LN_DadosExportados'!$V:$V,$C58,'2_LN_DadosExportados'!$A:$A,"X")+W58)/AC58)*$D58,"")</f>
        <v>0.25743202243975039</v>
      </c>
      <c r="K58" s="179">
        <f t="shared" si="41"/>
        <v>0.32417027573524976</v>
      </c>
      <c r="L58" s="179">
        <f t="shared" si="42"/>
        <v>0.30914121446132259</v>
      </c>
      <c r="M58" s="179">
        <f t="shared" si="43"/>
        <v>0.27289667466923118</v>
      </c>
      <c r="N58" s="179">
        <f t="shared" si="44"/>
        <v>0.26870811938271344</v>
      </c>
      <c r="O58" s="179">
        <f t="shared" si="45"/>
        <v>0.264129149109189</v>
      </c>
      <c r="P58" s="179">
        <f t="shared" si="46"/>
        <v>0.25743202243975039</v>
      </c>
      <c r="Q58" s="162">
        <v>90</v>
      </c>
      <c r="R58" s="163">
        <v>1345.07</v>
      </c>
      <c r="S58" s="163">
        <v>1203.3599999999999</v>
      </c>
      <c r="T58" s="163">
        <v>1183.31</v>
      </c>
      <c r="U58" s="163">
        <v>1163.31</v>
      </c>
      <c r="V58" s="163">
        <v>1143.32</v>
      </c>
      <c r="W58" s="163">
        <v>1124.27</v>
      </c>
      <c r="X58" s="164">
        <f t="shared" si="17"/>
        <v>4149.2700000000004</v>
      </c>
      <c r="Y58" s="164">
        <f t="shared" si="18"/>
        <v>3892.5900000000006</v>
      </c>
      <c r="Z58" s="164">
        <f t="shared" si="19"/>
        <v>4336.1099999999997</v>
      </c>
      <c r="AA58" s="164">
        <f t="shared" si="20"/>
        <v>4329.2700000000004</v>
      </c>
      <c r="AB58" s="164">
        <f t="shared" si="21"/>
        <v>4328.6400000000003</v>
      </c>
      <c r="AC58" s="164">
        <f t="shared" si="22"/>
        <v>4367.25</v>
      </c>
      <c r="AD58" s="165">
        <v>4610.3</v>
      </c>
      <c r="AE58" s="165">
        <v>4325.1000000000004</v>
      </c>
      <c r="AF58" s="165">
        <v>4817.8999999999996</v>
      </c>
      <c r="AG58" s="165">
        <v>4810.3</v>
      </c>
      <c r="AH58" s="165">
        <v>4809.6000000000004</v>
      </c>
      <c r="AI58" s="165">
        <v>4852.5</v>
      </c>
      <c r="AJ58" s="166">
        <v>14036722</v>
      </c>
      <c r="AK58" s="166">
        <v>8397478</v>
      </c>
      <c r="AL58" s="166">
        <v>8290058</v>
      </c>
      <c r="AM58" s="166">
        <v>8182639</v>
      </c>
      <c r="AN58" s="166">
        <v>8075219</v>
      </c>
      <c r="AO58" s="166">
        <v>8021509</v>
      </c>
      <c r="AP58" s="2" t="str">
        <f>IFERROR(VLOOKUP(C58,'2_LN_DadosExportados'!V:V,1,FALSE),"")</f>
        <v/>
      </c>
      <c r="AQ58" t="str" cm="1">
        <f t="array" ref="AQ58">IF(AND(ISERR(FIND("sim",INDEX('existencia de wc'!K$2:K$193,MATCH('3_Industrial_Plan_Idash'!C58,'existencia de wc'!B$2:B$192,0))))=FALSE,SUMPRODUCT(('2_LN_DadosExportados'!V$2:V$314='3_Industrial_Plan_Idash'!C58)*('2_LN_DadosExportados'!A$2:A$314="X"))&gt;0), "MOSTRAR","")</f>
        <v/>
      </c>
    </row>
    <row r="59" spans="1:43" ht="15.75" hidden="1" thickBot="1" x14ac:dyDescent="0.3">
      <c r="A59" s="153" t="str">
        <f t="shared" si="10"/>
        <v>OK</v>
      </c>
      <c r="B59" s="161" t="s">
        <v>789</v>
      </c>
      <c r="C59" s="161" t="s">
        <v>84</v>
      </c>
      <c r="D59" s="186">
        <v>1</v>
      </c>
      <c r="E59" s="181">
        <f>IFERROR(((SUMIFS('2_LN_DadosExportados'!AL:AL,'2_LN_DadosExportados'!$V:$V,$C59,'2_LN_DadosExportados'!$A:$A,"X")+R59)/X59)*$D59,"")</f>
        <v>0.43370761603848379</v>
      </c>
      <c r="F59" s="181">
        <f>IFERROR(((SUMIFS('2_LN_DadosExportados'!AM:AM,'2_LN_DadosExportados'!$V:$V,$C59,'2_LN_DadosExportados'!$A:$A,"X")+S59)/Y59)*$D59,"")</f>
        <v>0.60274007794296325</v>
      </c>
      <c r="G59" s="181">
        <f>IFERROR(((SUMIFS('2_LN_DadosExportados'!AN:AN,'2_LN_DadosExportados'!$V:$V,$C59,'2_LN_DadosExportados'!$A:$A,"X")+T59)/Z59)*$D59,"")</f>
        <v>0.52501896861472619</v>
      </c>
      <c r="H59" s="181">
        <f>IFERROR(((SUMIFS('2_LN_DadosExportados'!AO:AO,'2_LN_DadosExportados'!$V:$V,$C59,'2_LN_DadosExportados'!$A:$A,"X")+U59)/AA59)*$D59,"")</f>
        <v>0.52697798936079288</v>
      </c>
      <c r="I59" s="181">
        <f>IFERROR(((SUMIFS('2_LN_DadosExportados'!AP:AP,'2_LN_DadosExportados'!$V:$V,$C59,'2_LN_DadosExportados'!$A:$A,"X")+V59)/AB59)*$D59,"")</f>
        <v>0.52835070599541656</v>
      </c>
      <c r="J59" s="181">
        <f>IFERROR(((SUMIFS('2_LN_DadosExportados'!AQ:AQ,'2_LN_DadosExportados'!$V:$V,$C59,'2_LN_DadosExportados'!$A:$A,"X")+W59)/AC59)*$D59,"")</f>
        <v>0.5251405346614002</v>
      </c>
      <c r="K59" s="179">
        <f t="shared" si="41"/>
        <v>0.43370761603848379</v>
      </c>
      <c r="L59" s="179">
        <f t="shared" si="42"/>
        <v>0.60274007794296325</v>
      </c>
      <c r="M59" s="179">
        <f t="shared" si="43"/>
        <v>0.52501896861472619</v>
      </c>
      <c r="N59" s="179">
        <f t="shared" si="44"/>
        <v>0.52697798936079288</v>
      </c>
      <c r="O59" s="179">
        <f t="shared" si="45"/>
        <v>0.52835070599541656</v>
      </c>
      <c r="P59" s="179">
        <f t="shared" si="46"/>
        <v>0.5251405346614002</v>
      </c>
      <c r="Q59" s="162">
        <v>90</v>
      </c>
      <c r="R59" s="163">
        <v>1799.57</v>
      </c>
      <c r="S59" s="163">
        <v>2346.2199999999998</v>
      </c>
      <c r="T59" s="163">
        <v>2276.54</v>
      </c>
      <c r="U59" s="163">
        <v>2281.4299999999998</v>
      </c>
      <c r="V59" s="163">
        <v>2287.04</v>
      </c>
      <c r="W59" s="163">
        <v>2293.42</v>
      </c>
      <c r="X59" s="164">
        <f t="shared" si="17"/>
        <v>4149.2700000000004</v>
      </c>
      <c r="Y59" s="164">
        <f t="shared" si="18"/>
        <v>3892.5900000000006</v>
      </c>
      <c r="Z59" s="164">
        <f t="shared" si="19"/>
        <v>4336.1099999999997</v>
      </c>
      <c r="AA59" s="164">
        <f t="shared" si="20"/>
        <v>4329.2700000000004</v>
      </c>
      <c r="AB59" s="164">
        <f t="shared" si="21"/>
        <v>4328.6400000000003</v>
      </c>
      <c r="AC59" s="164">
        <f t="shared" si="22"/>
        <v>4367.25</v>
      </c>
      <c r="AD59" s="165">
        <v>4610.3</v>
      </c>
      <c r="AE59" s="165">
        <v>4325.1000000000004</v>
      </c>
      <c r="AF59" s="165">
        <v>4817.8999999999996</v>
      </c>
      <c r="AG59" s="165">
        <v>4810.3</v>
      </c>
      <c r="AH59" s="165">
        <v>4809.6000000000004</v>
      </c>
      <c r="AI59" s="165">
        <v>4852.5</v>
      </c>
      <c r="AJ59" s="166">
        <v>3793747.05</v>
      </c>
      <c r="AK59" s="166">
        <v>4861073</v>
      </c>
      <c r="AL59" s="166">
        <v>4957073</v>
      </c>
      <c r="AM59" s="166">
        <v>5083073</v>
      </c>
      <c r="AN59" s="166">
        <v>5215373</v>
      </c>
      <c r="AO59" s="166">
        <v>5354289</v>
      </c>
      <c r="AP59" s="2" t="str">
        <f>IFERROR(VLOOKUP(C59,'2_LN_DadosExportados'!V:V,1,FALSE),"")</f>
        <v>WC - Vib Rosler e Otocarva</v>
      </c>
      <c r="AQ59" t="str" cm="1">
        <f t="array" ref="AQ59">IF(AND(ISERR(FIND("sim",INDEX('existencia de wc'!K$2:K$193,MATCH('3_Industrial_Plan_Idash'!C59,'existencia de wc'!B$2:B$192,0))))=FALSE,SUMPRODUCT(('2_LN_DadosExportados'!V$2:V$314='3_Industrial_Plan_Idash'!C59)*('2_LN_DadosExportados'!A$2:A$314="X"))&gt;0), "MOSTRAR","")</f>
        <v/>
      </c>
    </row>
    <row r="60" spans="1:43" ht="15.75" hidden="1" thickBot="1" x14ac:dyDescent="0.3">
      <c r="A60" s="153" t="str">
        <f t="shared" si="10"/>
        <v>OK</v>
      </c>
      <c r="B60" s="161" t="s">
        <v>790</v>
      </c>
      <c r="C60" s="161" t="s">
        <v>119</v>
      </c>
      <c r="D60" s="186">
        <v>1</v>
      </c>
      <c r="E60" s="181">
        <f>IFERROR(((SUMIFS('2_LN_DadosExportados'!AL:AL,'2_LN_DadosExportados'!$V:$V,$C60,'2_LN_DadosExportados'!$A:$A,"X")+R60)/X60)*$D60,"")</f>
        <v>0.18432157945855532</v>
      </c>
      <c r="F60" s="181">
        <f>IFERROR(((SUMIFS('2_LN_DadosExportados'!AM:AM,'2_LN_DadosExportados'!$V:$V,$C60,'2_LN_DadosExportados'!$A:$A,"X")+S60)/Y60)*$D60,"")</f>
        <v>0.15430086394919576</v>
      </c>
      <c r="G60" s="181">
        <f>IFERROR(((SUMIFS('2_LN_DadosExportados'!AN:AN,'2_LN_DadosExportados'!$V:$V,$C60,'2_LN_DadosExportados'!$A:$A,"X")+T60)/Z60)*$D60,"")</f>
        <v>0.13217376865439301</v>
      </c>
      <c r="H60" s="181">
        <f>IFERROR(((SUMIFS('2_LN_DadosExportados'!AO:AO,'2_LN_DadosExportados'!$V:$V,$C60,'2_LN_DadosExportados'!$A:$A,"X")+U60)/AA60)*$D60,"")</f>
        <v>0.12911414626484372</v>
      </c>
      <c r="I60" s="181">
        <f>IFERROR(((SUMIFS('2_LN_DadosExportados'!AP:AP,'2_LN_DadosExportados'!$V:$V,$C60,'2_LN_DadosExportados'!$A:$A,"X")+V60)/AB60)*$D60,"")</f>
        <v>0.12611582390774007</v>
      </c>
      <c r="J60" s="181">
        <f>IFERROR(((SUMIFS('2_LN_DadosExportados'!AQ:AQ,'2_LN_DadosExportados'!$V:$V,$C60,'2_LN_DadosExportados'!$A:$A,"X")+W60)/AC60)*$D60,"")</f>
        <v>0.12300875837197321</v>
      </c>
      <c r="K60" s="179">
        <f t="shared" si="41"/>
        <v>0.18432157945855532</v>
      </c>
      <c r="L60" s="179">
        <f t="shared" si="42"/>
        <v>0.15430086394919576</v>
      </c>
      <c r="M60" s="179">
        <f t="shared" si="43"/>
        <v>0.13217376865439301</v>
      </c>
      <c r="N60" s="179">
        <f t="shared" si="44"/>
        <v>0.12911414626484372</v>
      </c>
      <c r="O60" s="179">
        <f t="shared" si="45"/>
        <v>0.12611582390774007</v>
      </c>
      <c r="P60" s="179">
        <f t="shared" si="46"/>
        <v>0.12300875837197321</v>
      </c>
      <c r="Q60" s="162">
        <v>90</v>
      </c>
      <c r="R60" s="163">
        <v>764.8</v>
      </c>
      <c r="S60" s="163">
        <v>600.63</v>
      </c>
      <c r="T60" s="163">
        <v>573.12</v>
      </c>
      <c r="U60" s="163">
        <v>558.97</v>
      </c>
      <c r="V60" s="163">
        <v>545.91</v>
      </c>
      <c r="W60" s="163">
        <v>537.21</v>
      </c>
      <c r="X60" s="164">
        <f t="shared" si="17"/>
        <v>4149.2700000000004</v>
      </c>
      <c r="Y60" s="164">
        <f t="shared" si="18"/>
        <v>3892.5900000000006</v>
      </c>
      <c r="Z60" s="164">
        <f t="shared" si="19"/>
        <v>4336.1099999999997</v>
      </c>
      <c r="AA60" s="164">
        <f t="shared" si="20"/>
        <v>4329.2700000000004</v>
      </c>
      <c r="AB60" s="164">
        <f t="shared" si="21"/>
        <v>4328.6400000000003</v>
      </c>
      <c r="AC60" s="164">
        <f t="shared" si="22"/>
        <v>4367.25</v>
      </c>
      <c r="AD60" s="165">
        <v>4610.3</v>
      </c>
      <c r="AE60" s="165">
        <v>4325.1000000000004</v>
      </c>
      <c r="AF60" s="165">
        <v>4817.8999999999996</v>
      </c>
      <c r="AG60" s="165">
        <v>4810.3</v>
      </c>
      <c r="AH60" s="165">
        <v>4809.6000000000004</v>
      </c>
      <c r="AI60" s="165">
        <v>4852.5</v>
      </c>
      <c r="AJ60" s="166">
        <v>1284901</v>
      </c>
      <c r="AK60" s="166">
        <v>900258</v>
      </c>
      <c r="AL60" s="166">
        <v>870817</v>
      </c>
      <c r="AM60" s="166">
        <v>862209</v>
      </c>
      <c r="AN60" s="166">
        <v>855162</v>
      </c>
      <c r="AO60" s="166">
        <v>855162</v>
      </c>
      <c r="AP60" s="2" t="str">
        <f>IFERROR(VLOOKUP(C60,'2_LN_DadosExportados'!V:V,1,FALSE),"")</f>
        <v/>
      </c>
      <c r="AQ60" t="str" cm="1">
        <f t="array" ref="AQ60">IF(AND(ISERR(FIND("sim",INDEX('existencia de wc'!K$2:K$193,MATCH('3_Industrial_Plan_Idash'!C60,'existencia de wc'!B$2:B$192,0))))=FALSE,SUMPRODUCT(('2_LN_DadosExportados'!V$2:V$314='3_Industrial_Plan_Idash'!C60)*('2_LN_DadosExportados'!A$2:A$314="X"))&gt;0), "MOSTRAR","")</f>
        <v/>
      </c>
    </row>
    <row r="61" spans="1:43" ht="15.75" hidden="1" thickBot="1" x14ac:dyDescent="0.3">
      <c r="A61" s="153" t="str">
        <f t="shared" si="10"/>
        <v>OK</v>
      </c>
      <c r="B61" s="161" t="s">
        <v>791</v>
      </c>
      <c r="C61" s="161" t="s">
        <v>792</v>
      </c>
      <c r="D61" s="186">
        <v>1</v>
      </c>
      <c r="E61" s="181">
        <f>IFERROR(((SUMIFS('2_LN_DadosExportados'!AL:AL,'2_LN_DadosExportados'!$V:$V,$C61,'2_LN_DadosExportados'!$A:$A,"X")+R61)/X61)*$D61,"")</f>
        <v>0.34521012129844519</v>
      </c>
      <c r="F61" s="181">
        <f>IFERROR(((SUMIFS('2_LN_DadosExportados'!AM:AM,'2_LN_DadosExportados'!$V:$V,$C61,'2_LN_DadosExportados'!$A:$A,"X")+S61)/Y61)*$D61,"")</f>
        <v>0.37900986232816702</v>
      </c>
      <c r="G61" s="181">
        <f>IFERROR(((SUMIFS('2_LN_DadosExportados'!AN:AN,'2_LN_DadosExportados'!$V:$V,$C61,'2_LN_DadosExportados'!$A:$A,"X")+T61)/Z61)*$D61,"")</f>
        <v>0.33506299425060709</v>
      </c>
      <c r="H61" s="181">
        <f>IFERROR(((SUMIFS('2_LN_DadosExportados'!AO:AO,'2_LN_DadosExportados'!$V:$V,$C61,'2_LN_DadosExportados'!$A:$A,"X")+U61)/AA61)*$D61,"")</f>
        <v>0.33039981336345386</v>
      </c>
      <c r="I61" s="181">
        <f>IFERROR(((SUMIFS('2_LN_DadosExportados'!AP:AP,'2_LN_DadosExportados'!$V:$V,$C61,'2_LN_DadosExportados'!$A:$A,"X")+V61)/AB61)*$D61,"")</f>
        <v>0.32525689362016708</v>
      </c>
      <c r="J61" s="181">
        <f>IFERROR(((SUMIFS('2_LN_DadosExportados'!AQ:AQ,'2_LN_DadosExportados'!$V:$V,$C61,'2_LN_DadosExportados'!$A:$A,"X")+W61)/AC61)*$D61,"")</f>
        <v>0.3172362470662316</v>
      </c>
      <c r="K61" s="179">
        <f t="shared" si="41"/>
        <v>0.34521012129844519</v>
      </c>
      <c r="L61" s="179">
        <f t="shared" si="42"/>
        <v>0.37900986232816702</v>
      </c>
      <c r="M61" s="179">
        <f t="shared" si="43"/>
        <v>0.33506299425060709</v>
      </c>
      <c r="N61" s="179">
        <f t="shared" si="44"/>
        <v>0.33039981336345386</v>
      </c>
      <c r="O61" s="179">
        <f t="shared" si="45"/>
        <v>0.32525689362016708</v>
      </c>
      <c r="P61" s="179">
        <f t="shared" si="46"/>
        <v>0.3172362470662316</v>
      </c>
      <c r="Q61" s="162">
        <v>90</v>
      </c>
      <c r="R61" s="163">
        <v>1432.37</v>
      </c>
      <c r="S61" s="163">
        <v>1475.33</v>
      </c>
      <c r="T61" s="163">
        <v>1452.87</v>
      </c>
      <c r="U61" s="163">
        <v>1430.39</v>
      </c>
      <c r="V61" s="163">
        <v>1407.92</v>
      </c>
      <c r="W61" s="163">
        <v>1385.45</v>
      </c>
      <c r="X61" s="164">
        <f t="shared" si="17"/>
        <v>4149.2700000000004</v>
      </c>
      <c r="Y61" s="164">
        <f t="shared" si="18"/>
        <v>3892.5900000000006</v>
      </c>
      <c r="Z61" s="164">
        <f t="shared" si="19"/>
        <v>4336.1099999999997</v>
      </c>
      <c r="AA61" s="164">
        <f t="shared" si="20"/>
        <v>4329.2700000000004</v>
      </c>
      <c r="AB61" s="164">
        <f t="shared" si="21"/>
        <v>4328.6400000000003</v>
      </c>
      <c r="AC61" s="164">
        <f t="shared" si="22"/>
        <v>4367.25</v>
      </c>
      <c r="AD61" s="165">
        <v>4610.3</v>
      </c>
      <c r="AE61" s="165">
        <v>4325.1000000000004</v>
      </c>
      <c r="AF61" s="165">
        <v>4817.8999999999996</v>
      </c>
      <c r="AG61" s="165">
        <v>4810.3</v>
      </c>
      <c r="AH61" s="165">
        <v>4809.6000000000004</v>
      </c>
      <c r="AI61" s="165">
        <v>4852.5</v>
      </c>
      <c r="AJ61" s="166">
        <v>3217339</v>
      </c>
      <c r="AK61" s="166">
        <v>3076193</v>
      </c>
      <c r="AL61" s="166">
        <v>3076193</v>
      </c>
      <c r="AM61" s="166">
        <v>3076193</v>
      </c>
      <c r="AN61" s="166">
        <v>3076193</v>
      </c>
      <c r="AO61" s="166">
        <v>3076193</v>
      </c>
      <c r="AP61" s="2" t="str">
        <f>IFERROR(VLOOKUP(C61,'2_LN_DadosExportados'!V:V,1,FALSE),"")</f>
        <v/>
      </c>
      <c r="AQ61" t="str" cm="1">
        <f t="array" ref="AQ61">IF(AND(ISERR(FIND("sim",INDEX('existencia de wc'!K$2:K$193,MATCH('3_Industrial_Plan_Idash'!C61,'existencia de wc'!B$2:B$192,0))))=FALSE,SUMPRODUCT(('2_LN_DadosExportados'!V$2:V$314='3_Industrial_Plan_Idash'!C61)*('2_LN_DadosExportados'!A$2:A$314="X"))&gt;0), "MOSTRAR","")</f>
        <v/>
      </c>
    </row>
    <row r="62" spans="1:43" ht="15.75" hidden="1" thickBot="1" x14ac:dyDescent="0.3">
      <c r="A62" s="153" t="str">
        <f t="shared" si="10"/>
        <v>OK</v>
      </c>
      <c r="B62" s="161" t="s">
        <v>793</v>
      </c>
      <c r="C62" s="161" t="s">
        <v>794</v>
      </c>
      <c r="D62" s="186">
        <v>1</v>
      </c>
      <c r="E62" s="181">
        <f>IFERROR(((SUMIFS('2_LN_DadosExportados'!AL:AL,'2_LN_DadosExportados'!$V:$V,$C62,'2_LN_DadosExportados'!$A:$A,"X")+R62)/X62)*$D62,"")</f>
        <v>4.9671387979090299E-2</v>
      </c>
      <c r="F62" s="181">
        <f>IFERROR(((SUMIFS('2_LN_DadosExportados'!AM:AM,'2_LN_DadosExportados'!$V:$V,$C62,'2_LN_DadosExportados'!$A:$A,"X")+S62)/Y62)*$D62,"")</f>
        <v>4.9690792596430958E-2</v>
      </c>
      <c r="G62" s="181">
        <f>IFERROR(((SUMIFS('2_LN_DadosExportados'!AN:AN,'2_LN_DadosExportados'!$V:$V,$C62,'2_LN_DadosExportados'!$A:$A,"X")+T62)/Z62)*$D62,"")</f>
        <v>4.392931750836037E-2</v>
      </c>
      <c r="H62" s="181">
        <f>IFERROR(((SUMIFS('2_LN_DadosExportados'!AO:AO,'2_LN_DadosExportados'!$V:$V,$C62,'2_LN_DadosExportados'!$A:$A,"X")+U62)/AA62)*$D62,"")</f>
        <v>4.3316364027680798E-2</v>
      </c>
      <c r="I62" s="181">
        <f>IFERROR(((SUMIFS('2_LN_DadosExportados'!AP:AP,'2_LN_DadosExportados'!$V:$V,$C62,'2_LN_DadosExportados'!$A:$A,"X")+V62)/AB62)*$D62,"")</f>
        <v>4.2642655864741107E-2</v>
      </c>
      <c r="J62" s="181">
        <f>IFERROR(((SUMIFS('2_LN_DadosExportados'!AQ:AQ,'2_LN_DadosExportados'!$V:$V,$C62,'2_LN_DadosExportados'!$A:$A,"X")+W62)/AC62)*$D62,"")</f>
        <v>4.1591659847864962E-2</v>
      </c>
      <c r="K62" s="179">
        <f t="shared" si="41"/>
        <v>4.9671387979090299E-2</v>
      </c>
      <c r="L62" s="179">
        <f t="shared" si="42"/>
        <v>4.9690792596430958E-2</v>
      </c>
      <c r="M62" s="179">
        <f t="shared" si="43"/>
        <v>4.392931750836037E-2</v>
      </c>
      <c r="N62" s="179">
        <f t="shared" si="44"/>
        <v>4.3316364027680798E-2</v>
      </c>
      <c r="O62" s="179">
        <f t="shared" si="45"/>
        <v>4.2642655864741107E-2</v>
      </c>
      <c r="P62" s="179">
        <f t="shared" si="46"/>
        <v>4.1591659847864962E-2</v>
      </c>
      <c r="Q62" s="162">
        <v>85</v>
      </c>
      <c r="R62" s="163">
        <v>194.65</v>
      </c>
      <c r="S62" s="163">
        <v>182.68</v>
      </c>
      <c r="T62" s="163">
        <v>179.9</v>
      </c>
      <c r="U62" s="163">
        <v>177.11</v>
      </c>
      <c r="V62" s="163">
        <v>174.33</v>
      </c>
      <c r="W62" s="163">
        <v>171.55</v>
      </c>
      <c r="X62" s="164">
        <f t="shared" si="17"/>
        <v>3918.7550000000001</v>
      </c>
      <c r="Y62" s="164">
        <f t="shared" si="18"/>
        <v>3676.335</v>
      </c>
      <c r="Z62" s="164">
        <f t="shared" si="19"/>
        <v>4095.2149999999997</v>
      </c>
      <c r="AA62" s="164">
        <f t="shared" si="20"/>
        <v>4088.7550000000001</v>
      </c>
      <c r="AB62" s="164">
        <f t="shared" si="21"/>
        <v>4088.1600000000003</v>
      </c>
      <c r="AC62" s="164">
        <f t="shared" si="22"/>
        <v>4124.625</v>
      </c>
      <c r="AD62" s="165">
        <v>4610.3</v>
      </c>
      <c r="AE62" s="165">
        <v>4325.1000000000004</v>
      </c>
      <c r="AF62" s="165">
        <v>4817.8999999999996</v>
      </c>
      <c r="AG62" s="165">
        <v>4810.3</v>
      </c>
      <c r="AH62" s="165">
        <v>4809.6000000000004</v>
      </c>
      <c r="AI62" s="165">
        <v>4852.5</v>
      </c>
      <c r="AJ62" s="166">
        <v>350369</v>
      </c>
      <c r="AK62" s="166">
        <v>333831</v>
      </c>
      <c r="AL62" s="166">
        <v>333831</v>
      </c>
      <c r="AM62" s="166">
        <v>333831</v>
      </c>
      <c r="AN62" s="166">
        <v>333831</v>
      </c>
      <c r="AO62" s="166">
        <v>333831</v>
      </c>
      <c r="AP62" s="2" t="str">
        <f>IFERROR(VLOOKUP(C62,'2_LN_DadosExportados'!V:V,1,FALSE),"")</f>
        <v/>
      </c>
      <c r="AQ62" t="str" cm="1">
        <f t="array" ref="AQ62">IF(AND(ISERR(FIND("sim",INDEX('existencia de wc'!K$2:K$193,MATCH('3_Industrial_Plan_Idash'!C62,'existencia de wc'!B$2:B$192,0))))=FALSE,SUMPRODUCT(('2_LN_DadosExportados'!V$2:V$314='3_Industrial_Plan_Idash'!C62)*('2_LN_DadosExportados'!A$2:A$314="X"))&gt;0), "MOSTRAR","")</f>
        <v/>
      </c>
    </row>
    <row r="63" spans="1:43" ht="15.75" hidden="1" thickBot="1" x14ac:dyDescent="0.3">
      <c r="A63" s="153" t="str">
        <f t="shared" si="10"/>
        <v>INVEST</v>
      </c>
      <c r="B63" s="161" t="s">
        <v>795</v>
      </c>
      <c r="C63" s="161" t="s">
        <v>796</v>
      </c>
      <c r="D63" s="186">
        <v>0</v>
      </c>
      <c r="E63" s="181" t="str">
        <f>IFERROR(((SUMIFS('2_LN_DadosExportados'!AL:AL,'2_LN_DadosExportados'!$V:$V,$C63,'2_LN_DadosExportados'!$A:$A,"X")+R63)/X63)*$D63,"")</f>
        <v/>
      </c>
      <c r="F63" s="181" t="str">
        <f>IFERROR(((SUMIFS('2_LN_DadosExportados'!AM:AM,'2_LN_DadosExportados'!$V:$V,$C63,'2_LN_DadosExportados'!$A:$A,"X")+S63)/Y63)*$D63,"")</f>
        <v/>
      </c>
      <c r="G63" s="181" t="str">
        <f>IFERROR(((SUMIFS('2_LN_DadosExportados'!AN:AN,'2_LN_DadosExportados'!$V:$V,$C63,'2_LN_DadosExportados'!$A:$A,"X")+T63)/Z63)*$D63,"")</f>
        <v/>
      </c>
      <c r="H63" s="181" t="str">
        <f>IFERROR(((SUMIFS('2_LN_DadosExportados'!AO:AO,'2_LN_DadosExportados'!$V:$V,$C63,'2_LN_DadosExportados'!$A:$A,"X")+U63)/AA63)*$D63,"")</f>
        <v/>
      </c>
      <c r="I63" s="181" t="str">
        <f>IFERROR(((SUMIFS('2_LN_DadosExportados'!AP:AP,'2_LN_DadosExportados'!$V:$V,$C63,'2_LN_DadosExportados'!$A:$A,"X")+V63)/AB63)*$D63,"")</f>
        <v/>
      </c>
      <c r="J63" s="181" t="str">
        <f>IFERROR(((SUMIFS('2_LN_DadosExportados'!AQ:AQ,'2_LN_DadosExportados'!$V:$V,$C63,'2_LN_DadosExportados'!$A:$A,"X")+W63)/AC63)*$D63,"")</f>
        <v/>
      </c>
      <c r="K63" s="179" t="str">
        <f t="shared" si="41"/>
        <v/>
      </c>
      <c r="L63" s="179" t="str">
        <f t="shared" si="42"/>
        <v/>
      </c>
      <c r="M63" s="179" t="str">
        <f t="shared" si="43"/>
        <v/>
      </c>
      <c r="N63" s="179" t="str">
        <f t="shared" si="44"/>
        <v/>
      </c>
      <c r="O63" s="179" t="str">
        <f t="shared" si="45"/>
        <v/>
      </c>
      <c r="P63" s="179" t="str">
        <f t="shared" si="46"/>
        <v/>
      </c>
      <c r="Q63" s="162">
        <v>0</v>
      </c>
      <c r="R63" s="163">
        <v>1156.83</v>
      </c>
      <c r="S63" s="163">
        <v>254.31</v>
      </c>
      <c r="T63" s="163">
        <v>211.91</v>
      </c>
      <c r="U63" s="163">
        <v>170.7</v>
      </c>
      <c r="V63" s="163">
        <v>130.68</v>
      </c>
      <c r="W63" s="163">
        <v>110.22</v>
      </c>
      <c r="X63" s="164">
        <f t="shared" si="17"/>
        <v>0</v>
      </c>
      <c r="Y63" s="164">
        <f t="shared" si="18"/>
        <v>0</v>
      </c>
      <c r="Z63" s="164">
        <f t="shared" si="19"/>
        <v>0</v>
      </c>
      <c r="AA63" s="164">
        <f t="shared" si="20"/>
        <v>0</v>
      </c>
      <c r="AB63" s="164">
        <f t="shared" si="21"/>
        <v>0</v>
      </c>
      <c r="AC63" s="164">
        <f t="shared" si="22"/>
        <v>0</v>
      </c>
      <c r="AD63" s="165">
        <v>0</v>
      </c>
      <c r="AE63" s="165">
        <v>0</v>
      </c>
      <c r="AF63" s="165">
        <v>0</v>
      </c>
      <c r="AG63" s="165">
        <v>0</v>
      </c>
      <c r="AH63" s="165">
        <v>0</v>
      </c>
      <c r="AI63" s="165">
        <v>0</v>
      </c>
      <c r="AJ63" s="166">
        <v>2776388</v>
      </c>
      <c r="AK63" s="166">
        <v>619632</v>
      </c>
      <c r="AL63" s="166">
        <v>524304</v>
      </c>
      <c r="AM63" s="166">
        <v>428976</v>
      </c>
      <c r="AN63" s="166">
        <v>333648</v>
      </c>
      <c r="AO63" s="166">
        <v>285984</v>
      </c>
      <c r="AP63" s="2" t="str">
        <f>IFERROR(VLOOKUP(C63,'2_LN_DadosExportados'!V:V,1,FALSE),"")</f>
        <v/>
      </c>
      <c r="AQ63" t="str" cm="1">
        <f t="array" ref="AQ63">IF(AND(ISERR(FIND("sim",INDEX('existencia de wc'!K$2:K$193,MATCH('3_Industrial_Plan_Idash'!C63,'existencia de wc'!B$2:B$192,0))))=FALSE,SUMPRODUCT(('2_LN_DadosExportados'!V$2:V$314='3_Industrial_Plan_Idash'!C63)*('2_LN_DadosExportados'!A$2:A$314="X"))&gt;0), "MOSTRAR","")</f>
        <v/>
      </c>
    </row>
    <row r="64" spans="1:43" ht="15.75" hidden="1" thickBot="1" x14ac:dyDescent="0.3">
      <c r="A64" s="153" t="str">
        <f t="shared" si="10"/>
        <v>INVEST</v>
      </c>
      <c r="B64" s="161" t="s">
        <v>797</v>
      </c>
      <c r="C64" s="161" t="s">
        <v>113</v>
      </c>
      <c r="D64" s="186">
        <v>1</v>
      </c>
      <c r="E64" s="181">
        <f>IFERROR(((SUMIFS('2_LN_DadosExportados'!AL:AL,'2_LN_DadosExportados'!$V:$V,$C64,'2_LN_DadosExportados'!$A:$A,"X")+R64)/X64)*$D64,"")</f>
        <v>0.76889884273689768</v>
      </c>
      <c r="F64" s="181">
        <f>IFERROR(((SUMIFS('2_LN_DadosExportados'!AM:AM,'2_LN_DadosExportados'!$V:$V,$C64,'2_LN_DadosExportados'!$A:$A,"X")+S64)/Y64)*$D64,"")</f>
        <v>1.1362731651676645</v>
      </c>
      <c r="G64" s="181">
        <f>IFERROR(((SUMIFS('2_LN_DadosExportados'!AN:AN,'2_LN_DadosExportados'!$V:$V,$C64,'2_LN_DadosExportados'!$A:$A,"X")+T64)/Z64)*$D64,"")</f>
        <v>1.22272858948187</v>
      </c>
      <c r="H64" s="181">
        <f>IFERROR(((SUMIFS('2_LN_DadosExportados'!AO:AO,'2_LN_DadosExportados'!$V:$V,$C64,'2_LN_DadosExportados'!$A:$A,"X")+U64)/AA64)*$D64,"")</f>
        <v>1.3337029106523732</v>
      </c>
      <c r="I64" s="181">
        <f>IFERROR(((SUMIFS('2_LN_DadosExportados'!AP:AP,'2_LN_DadosExportados'!$V:$V,$C64,'2_LN_DadosExportados'!$A:$A,"X")+V64)/AB64)*$D64,"")</f>
        <v>1.5081577623363402</v>
      </c>
      <c r="J64" s="181">
        <f>IFERROR(((SUMIFS('2_LN_DadosExportados'!AQ:AQ,'2_LN_DadosExportados'!$V:$V,$C64,'2_LN_DadosExportados'!$A:$A,"X")+W64)/AC64)*$D64,"")</f>
        <v>1.5696650489006545</v>
      </c>
      <c r="K64" s="179">
        <f t="shared" si="41"/>
        <v>0.76889884273689768</v>
      </c>
      <c r="L64" s="179">
        <f t="shared" si="42"/>
        <v>1.1362731651676645</v>
      </c>
      <c r="M64" s="179">
        <f t="shared" si="43"/>
        <v>1.22272858948187</v>
      </c>
      <c r="N64" s="179">
        <f t="shared" si="44"/>
        <v>1.3337029106523732</v>
      </c>
      <c r="O64" s="179">
        <f t="shared" si="45"/>
        <v>1.5081577623363402</v>
      </c>
      <c r="P64" s="179">
        <f t="shared" si="46"/>
        <v>1.5696650489006545</v>
      </c>
      <c r="Q64" s="162">
        <v>90</v>
      </c>
      <c r="R64" s="163">
        <v>2997.16</v>
      </c>
      <c r="S64" s="163">
        <f>3867.49+555.55556</f>
        <v>4423.0455599999996</v>
      </c>
      <c r="T64" s="163">
        <f>5005.07+277.77778</f>
        <v>5282.8477800000001</v>
      </c>
      <c r="U64" s="163">
        <v>5773.96</v>
      </c>
      <c r="V64" s="163">
        <v>6504.79</v>
      </c>
      <c r="W64" s="163">
        <v>6830.68</v>
      </c>
      <c r="X64" s="164">
        <f t="shared" si="17"/>
        <v>3897.9900000000002</v>
      </c>
      <c r="Y64" s="164">
        <f t="shared" si="18"/>
        <v>3892.5900000000006</v>
      </c>
      <c r="Z64" s="164">
        <f t="shared" si="19"/>
        <v>4320.5400000000009</v>
      </c>
      <c r="AA64" s="164">
        <f t="shared" si="20"/>
        <v>4329.2700000000004</v>
      </c>
      <c r="AB64" s="164">
        <f t="shared" si="21"/>
        <v>4313.0700000000006</v>
      </c>
      <c r="AC64" s="164">
        <f t="shared" si="22"/>
        <v>4351.68</v>
      </c>
      <c r="AD64" s="165">
        <v>4331.1000000000004</v>
      </c>
      <c r="AE64" s="165">
        <v>4325.1000000000004</v>
      </c>
      <c r="AF64" s="165">
        <v>4800.6000000000004</v>
      </c>
      <c r="AG64" s="165">
        <v>4810.3</v>
      </c>
      <c r="AH64" s="165">
        <v>4792.3</v>
      </c>
      <c r="AI64" s="165">
        <v>4835.2</v>
      </c>
      <c r="AJ64" s="166">
        <v>607103</v>
      </c>
      <c r="AK64" s="166">
        <v>829997</v>
      </c>
      <c r="AL64" s="166">
        <v>1106511</v>
      </c>
      <c r="AM64" s="166">
        <v>1312576</v>
      </c>
      <c r="AN64" s="166">
        <v>1515710</v>
      </c>
      <c r="AO64" s="166">
        <v>1620580</v>
      </c>
      <c r="AP64" s="2" t="str">
        <f>IFERROR(VLOOKUP(C64,'2_LN_DadosExportados'!V:V,1,FALSE),"")</f>
        <v/>
      </c>
      <c r="AQ64" t="str" cm="1">
        <f t="array" ref="AQ64">IF(AND(ISERR(FIND("sim",INDEX('existencia de wc'!K$2:K$193,MATCH('3_Industrial_Plan_Idash'!C64,'existencia de wc'!B$2:B$192,0))))=FALSE,SUMPRODUCT(('2_LN_DadosExportados'!V$2:V$314='3_Industrial_Plan_Idash'!C64)*('2_LN_DadosExportados'!A$2:A$314="X"))&gt;0), "MOSTRAR","")</f>
        <v/>
      </c>
    </row>
    <row r="65" spans="1:43" ht="15.75" thickBot="1" x14ac:dyDescent="0.3">
      <c r="A65" s="153" t="str">
        <f t="shared" si="10"/>
        <v>INVEST</v>
      </c>
      <c r="B65" s="161" t="s">
        <v>798</v>
      </c>
      <c r="C65" s="161" t="s">
        <v>799</v>
      </c>
      <c r="D65" s="186">
        <v>1</v>
      </c>
      <c r="E65" s="181">
        <f>IFERROR(((SUMIFS('2_LN_DadosExportados'!AL:AL,'2_LN_DadosExportados'!$V:$V,$C65,'2_LN_DadosExportados'!$A:$A,"X")+R65)/X65)*$D65,"")</f>
        <v>0.69663082768298534</v>
      </c>
      <c r="F65" s="181">
        <f>IFERROR(((SUMIFS('2_LN_DadosExportados'!AM:AM,'2_LN_DadosExportados'!$V:$V,$C65,'2_LN_DadosExportados'!$A:$A,"X")+S65)/Y65)*$D65,"")</f>
        <v>0.90927891198405153</v>
      </c>
      <c r="G65" s="181">
        <f>IFERROR(((SUMIFS('2_LN_DadosExportados'!AN:AN,'2_LN_DadosExportados'!$V:$V,$C65,'2_LN_DadosExportados'!$A:$A,"X")+T65)/Z65)*$D65,"")</f>
        <v>0.90105634943780166</v>
      </c>
      <c r="H65" s="181">
        <f>IFERROR(((SUMIFS('2_LN_DadosExportados'!AO:AO,'2_LN_DadosExportados'!$V:$V,$C65,'2_LN_DadosExportados'!$A:$A,"X")+U65)/AA65)*$D65,"")</f>
        <v>1.020012611826012</v>
      </c>
      <c r="I65" s="181">
        <f>IFERROR(((SUMIFS('2_LN_DadosExportados'!AP:AP,'2_LN_DadosExportados'!$V:$V,$C65,'2_LN_DadosExportados'!$A:$A,"X")+V65)/AB65)*$D65,"")</f>
        <v>1.1381660858738669</v>
      </c>
      <c r="J65" s="181">
        <f>IFERROR(((SUMIFS('2_LN_DadosExportados'!AQ:AQ,'2_LN_DadosExportados'!$V:$V,$C65,'2_LN_DadosExportados'!$A:$A,"X")+W65)/AC65)*$D65,"")</f>
        <v>1.1502201448635929</v>
      </c>
      <c r="K65" s="179">
        <f t="shared" si="41"/>
        <v>0.69663082768298534</v>
      </c>
      <c r="L65" s="179">
        <f t="shared" si="42"/>
        <v>0.90927891198405153</v>
      </c>
      <c r="M65" s="179">
        <f t="shared" si="43"/>
        <v>0.90105634943780166</v>
      </c>
      <c r="N65" s="179">
        <f t="shared" si="44"/>
        <v>1.020012611826012</v>
      </c>
      <c r="O65" s="179">
        <f t="shared" si="45"/>
        <v>1.1381660858738669</v>
      </c>
      <c r="P65" s="179">
        <f t="shared" si="46"/>
        <v>1.1502201448635929</v>
      </c>
      <c r="Q65" s="162">
        <v>90</v>
      </c>
      <c r="R65" s="163">
        <v>2715.46</v>
      </c>
      <c r="S65" s="163">
        <v>3539.45</v>
      </c>
      <c r="T65" s="163">
        <v>3893.05</v>
      </c>
      <c r="U65" s="163">
        <v>4415.91</v>
      </c>
      <c r="V65" s="163">
        <v>4908.99</v>
      </c>
      <c r="W65" s="163">
        <v>5005.3900000000003</v>
      </c>
      <c r="X65" s="164">
        <f t="shared" si="17"/>
        <v>3897.9900000000002</v>
      </c>
      <c r="Y65" s="164">
        <f t="shared" si="18"/>
        <v>3892.5900000000006</v>
      </c>
      <c r="Z65" s="164">
        <f t="shared" si="19"/>
        <v>4320.5400000000009</v>
      </c>
      <c r="AA65" s="164">
        <f t="shared" si="20"/>
        <v>4329.2700000000004</v>
      </c>
      <c r="AB65" s="164">
        <f t="shared" si="21"/>
        <v>4313.0700000000006</v>
      </c>
      <c r="AC65" s="164">
        <f t="shared" si="22"/>
        <v>4351.68</v>
      </c>
      <c r="AD65" s="165">
        <v>4331.1000000000004</v>
      </c>
      <c r="AE65" s="165">
        <v>4325.1000000000004</v>
      </c>
      <c r="AF65" s="165">
        <v>4800.6000000000004</v>
      </c>
      <c r="AG65" s="165">
        <v>4810.3</v>
      </c>
      <c r="AH65" s="165">
        <v>4792.3</v>
      </c>
      <c r="AI65" s="165">
        <v>4835.2</v>
      </c>
      <c r="AJ65" s="166">
        <v>601283</v>
      </c>
      <c r="AK65" s="166">
        <v>814370</v>
      </c>
      <c r="AL65" s="166">
        <v>915194</v>
      </c>
      <c r="AM65" s="166">
        <v>1061725</v>
      </c>
      <c r="AN65" s="166">
        <v>1205325</v>
      </c>
      <c r="AO65" s="166">
        <v>1250662</v>
      </c>
      <c r="AP65" s="2" t="str">
        <f>IFERROR(VLOOKUP(C65,'2_LN_DadosExportados'!V:V,1,FALSE),"")</f>
        <v/>
      </c>
      <c r="AQ65" t="str" cm="1">
        <f t="array" ref="AQ65">IF(AND(ISERR(FIND("sim",INDEX('existencia de wc'!K$2:K$193,MATCH('3_Industrial_Plan_Idash'!C65,'existencia de wc'!B$2:B$192,0))))=FALSE,SUMPRODUCT(('2_LN_DadosExportados'!V$2:V$314='3_Industrial_Plan_Idash'!C65)*('2_LN_DadosExportados'!A$2:A$314="X"))&gt;0), "MOSTRAR","")</f>
        <v/>
      </c>
    </row>
    <row r="66" spans="1:43" ht="15.75" hidden="1" thickBot="1" x14ac:dyDescent="0.3">
      <c r="A66" s="153" t="str">
        <f t="shared" si="10"/>
        <v>OK</v>
      </c>
      <c r="B66" s="161" t="s">
        <v>800</v>
      </c>
      <c r="C66" s="161" t="s">
        <v>121</v>
      </c>
      <c r="D66" s="186">
        <v>2</v>
      </c>
      <c r="E66" s="181">
        <f>IFERROR(((SUMIFS('2_LN_DadosExportados'!AL:AL,'2_LN_DadosExportados'!$V:$V,$C66,'2_LN_DadosExportados'!$A:$A,"X")+R66)/X66)*$D66,"")</f>
        <v>9.0374933422023629E-2</v>
      </c>
      <c r="F66" s="181">
        <f>IFERROR(((SUMIFS('2_LN_DadosExportados'!AM:AM,'2_LN_DadosExportados'!$V:$V,$C66,'2_LN_DadosExportados'!$A:$A,"X")+S66)/Y66)*$D66,"")</f>
        <v>2.3557579914658362E-2</v>
      </c>
      <c r="G66" s="181">
        <f>IFERROR(((SUMIFS('2_LN_DadosExportados'!AN:AN,'2_LN_DadosExportados'!$V:$V,$C66,'2_LN_DadosExportados'!$A:$A,"X")+T66)/Z66)*$D66,"")</f>
        <v>1.7621785425185246E-2</v>
      </c>
      <c r="H66" s="181">
        <f>IFERROR(((SUMIFS('2_LN_DadosExportados'!AO:AO,'2_LN_DadosExportados'!$V:$V,$C66,'2_LN_DadosExportados'!$A:$A,"X")+U66)/AA66)*$D66,"")</f>
        <v>1.4217177491817326E-2</v>
      </c>
      <c r="I66" s="181">
        <f>IFERROR(((SUMIFS('2_LN_DadosExportados'!AP:AP,'2_LN_DadosExportados'!$V:$V,$C66,'2_LN_DadosExportados'!$A:$A,"X")+V66)/AB66)*$D66,"")</f>
        <v>1.0885636135137131E-2</v>
      </c>
      <c r="J66" s="181">
        <f>IFERROR(((SUMIFS('2_LN_DadosExportados'!AQ:AQ,'2_LN_DadosExportados'!$V:$V,$C66,'2_LN_DadosExportados'!$A:$A,"X")+W66)/AC66)*$D66,"")</f>
        <v>9.0995477703360236E-3</v>
      </c>
      <c r="K66" s="179">
        <f t="shared" si="41"/>
        <v>9.0374933422023629E-2</v>
      </c>
      <c r="L66" s="179">
        <f t="shared" si="42"/>
        <v>2.3557579914658362E-2</v>
      </c>
      <c r="M66" s="179">
        <f t="shared" si="43"/>
        <v>1.7621785425185246E-2</v>
      </c>
      <c r="N66" s="179">
        <f t="shared" si="44"/>
        <v>1.4217177491817326E-2</v>
      </c>
      <c r="O66" s="179">
        <f t="shared" si="45"/>
        <v>1.0885636135137131E-2</v>
      </c>
      <c r="P66" s="179">
        <f t="shared" si="46"/>
        <v>9.0995477703360236E-3</v>
      </c>
      <c r="Q66" s="162">
        <v>90</v>
      </c>
      <c r="R66" s="163">
        <v>374.99</v>
      </c>
      <c r="S66" s="163">
        <v>91.7</v>
      </c>
      <c r="T66" s="163">
        <v>76.41</v>
      </c>
      <c r="U66" s="163">
        <v>61.55</v>
      </c>
      <c r="V66" s="163">
        <v>47.12</v>
      </c>
      <c r="W66" s="163">
        <v>39.74</v>
      </c>
      <c r="X66" s="164">
        <f t="shared" si="17"/>
        <v>8298.5400000000009</v>
      </c>
      <c r="Y66" s="164">
        <f t="shared" si="18"/>
        <v>7785.1800000000012</v>
      </c>
      <c r="Z66" s="164">
        <f t="shared" si="19"/>
        <v>8672.2199999999993</v>
      </c>
      <c r="AA66" s="164">
        <f t="shared" si="20"/>
        <v>8658.5400000000009</v>
      </c>
      <c r="AB66" s="164">
        <f t="shared" si="21"/>
        <v>8657.2800000000007</v>
      </c>
      <c r="AC66" s="164">
        <f t="shared" si="22"/>
        <v>8734.5</v>
      </c>
      <c r="AD66" s="165">
        <v>9220.6</v>
      </c>
      <c r="AE66" s="165">
        <v>8650.2000000000007</v>
      </c>
      <c r="AF66" s="165">
        <v>9635.7999999999993</v>
      </c>
      <c r="AG66" s="165">
        <v>9620.6</v>
      </c>
      <c r="AH66" s="165">
        <v>9619.2000000000007</v>
      </c>
      <c r="AI66" s="165">
        <v>9705</v>
      </c>
      <c r="AJ66" s="166">
        <v>2812488</v>
      </c>
      <c r="AK66" s="166">
        <v>698228</v>
      </c>
      <c r="AL66" s="166">
        <v>590808</v>
      </c>
      <c r="AM66" s="166">
        <v>483389</v>
      </c>
      <c r="AN66" s="166">
        <v>375969</v>
      </c>
      <c r="AO66" s="166">
        <v>322259</v>
      </c>
      <c r="AP66" s="2" t="str">
        <f>IFERROR(VLOOKUP(C66,'2_LN_DadosExportados'!V:V,1,FALSE),"")</f>
        <v/>
      </c>
      <c r="AQ66" t="str" cm="1">
        <f t="array" ref="AQ66">IF(AND(ISERR(FIND("sim",INDEX('existencia de wc'!K$2:K$193,MATCH('3_Industrial_Plan_Idash'!C66,'existencia de wc'!B$2:B$192,0))))=FALSE,SUMPRODUCT(('2_LN_DadosExportados'!V$2:V$314='3_Industrial_Plan_Idash'!C66)*('2_LN_DadosExportados'!A$2:A$314="X"))&gt;0), "MOSTRAR","")</f>
        <v/>
      </c>
    </row>
    <row r="67" spans="1:43" ht="15.75" thickBot="1" x14ac:dyDescent="0.3">
      <c r="A67" s="153" t="str">
        <f t="shared" si="10"/>
        <v>INVEST</v>
      </c>
      <c r="B67" s="161" t="s">
        <v>801</v>
      </c>
      <c r="C67" s="161" t="s">
        <v>115</v>
      </c>
      <c r="D67" s="186">
        <v>1</v>
      </c>
      <c r="E67" s="181">
        <f>IFERROR(((SUMIFS('2_LN_DadosExportados'!AL:AL,'2_LN_DadosExportados'!$V:$V,$C67,'2_LN_DadosExportados'!$A:$A,"X")+R67)/X67)*$D67,"")</f>
        <v>1.7060382402212422</v>
      </c>
      <c r="F67" s="181">
        <f>IFERROR(((SUMIFS('2_LN_DadosExportados'!AM:AM,'2_LN_DadosExportados'!$V:$V,$C67,'2_LN_DadosExportados'!$A:$A,"X")+S67)/Y67)*$D67,"")</f>
        <v>2.3989029309534264</v>
      </c>
      <c r="G67" s="181">
        <f>IFERROR(((SUMIFS('2_LN_DadosExportados'!AN:AN,'2_LN_DadosExportados'!$V:$V,$C67,'2_LN_DadosExportados'!$A:$A,"X")+T67)/Z67)*$D67,"")</f>
        <v>2.4844458748212026</v>
      </c>
      <c r="H67" s="181">
        <f>IFERROR(((SUMIFS('2_LN_DadosExportados'!AO:AO,'2_LN_DadosExportados'!$V:$V,$C67,'2_LN_DadosExportados'!$A:$A,"X")+U67)/AA67)*$D67,"")</f>
        <v>2.775424032227142</v>
      </c>
      <c r="I67" s="181">
        <f>IFERROR(((SUMIFS('2_LN_DadosExportados'!AP:AP,'2_LN_DadosExportados'!$V:$V,$C67,'2_LN_DadosExportados'!$A:$A,"X")+V67)/AB67)*$D67,"")</f>
        <v>3.1281685667053858</v>
      </c>
      <c r="J67" s="181">
        <f>IFERROR(((SUMIFS('2_LN_DadosExportados'!AQ:AQ,'2_LN_DadosExportados'!$V:$V,$C67,'2_LN_DadosExportados'!$A:$A,"X")+W67)/AC67)*$D67,"")</f>
        <v>3.2099097360100006</v>
      </c>
      <c r="K67" s="179">
        <f t="shared" si="41"/>
        <v>1.7060382402212422</v>
      </c>
      <c r="L67" s="179">
        <f t="shared" si="42"/>
        <v>2.3989029309534264</v>
      </c>
      <c r="M67" s="179">
        <f t="shared" si="43"/>
        <v>2.4844458748212026</v>
      </c>
      <c r="N67" s="179">
        <f t="shared" si="44"/>
        <v>2.775424032227142</v>
      </c>
      <c r="O67" s="179">
        <f t="shared" si="45"/>
        <v>3.1281685667053858</v>
      </c>
      <c r="P67" s="179">
        <f t="shared" si="46"/>
        <v>3.2099097360100006</v>
      </c>
      <c r="Q67" s="162">
        <v>90</v>
      </c>
      <c r="R67" s="163">
        <v>6650.12</v>
      </c>
      <c r="S67" s="163">
        <f>8782.39+555.55556</f>
        <v>9337.9455600000001</v>
      </c>
      <c r="T67" s="163">
        <f>10456.37+277.77778</f>
        <v>10734.147780000001</v>
      </c>
      <c r="U67" s="163">
        <v>12015.56</v>
      </c>
      <c r="V67" s="163">
        <v>13492.01</v>
      </c>
      <c r="W67" s="163">
        <v>13968.5</v>
      </c>
      <c r="X67" s="164">
        <f t="shared" si="17"/>
        <v>3897.9900000000002</v>
      </c>
      <c r="Y67" s="164">
        <f t="shared" si="18"/>
        <v>3892.5900000000006</v>
      </c>
      <c r="Z67" s="164">
        <f t="shared" si="19"/>
        <v>4320.5400000000009</v>
      </c>
      <c r="AA67" s="164">
        <f t="shared" si="20"/>
        <v>4329.2700000000004</v>
      </c>
      <c r="AB67" s="164">
        <f t="shared" si="21"/>
        <v>4313.0700000000006</v>
      </c>
      <c r="AC67" s="164">
        <f t="shared" si="22"/>
        <v>4351.68</v>
      </c>
      <c r="AD67" s="165">
        <v>4331.1000000000004</v>
      </c>
      <c r="AE67" s="165">
        <v>4325.1000000000004</v>
      </c>
      <c r="AF67" s="165">
        <v>4800.6000000000004</v>
      </c>
      <c r="AG67" s="165">
        <v>4810.3</v>
      </c>
      <c r="AH67" s="165">
        <v>4792.3</v>
      </c>
      <c r="AI67" s="165">
        <v>4835.2</v>
      </c>
      <c r="AJ67" s="166">
        <v>1208386</v>
      </c>
      <c r="AK67" s="166">
        <v>1644367</v>
      </c>
      <c r="AL67" s="166">
        <v>2021705</v>
      </c>
      <c r="AM67" s="166">
        <v>2374301</v>
      </c>
      <c r="AN67" s="166">
        <v>2721035</v>
      </c>
      <c r="AO67" s="166">
        <v>2871242</v>
      </c>
      <c r="AP67" s="2" t="str">
        <f>IFERROR(VLOOKUP(C67,'2_LN_DadosExportados'!V:V,1,FALSE),"")</f>
        <v/>
      </c>
      <c r="AQ67" t="str" cm="1">
        <f t="array" ref="AQ67">IF(AND(ISERR(FIND("sim",INDEX('existencia de wc'!K$2:K$193,MATCH('3_Industrial_Plan_Idash'!C67,'existencia de wc'!B$2:B$192,0))))=FALSE,SUMPRODUCT(('2_LN_DadosExportados'!V$2:V$314='3_Industrial_Plan_Idash'!C67)*('2_LN_DadosExportados'!A$2:A$314="X"))&gt;0), "MOSTRAR","")</f>
        <v/>
      </c>
    </row>
    <row r="68" spans="1:43" ht="15.75" hidden="1" thickBot="1" x14ac:dyDescent="0.3">
      <c r="A68" s="153" t="str">
        <f t="shared" si="10"/>
        <v>OK</v>
      </c>
      <c r="B68" s="161" t="s">
        <v>802</v>
      </c>
      <c r="C68" s="161" t="s">
        <v>43</v>
      </c>
      <c r="D68" s="186">
        <v>1</v>
      </c>
      <c r="E68" s="181">
        <f>IFERROR(((SUMIFS('2_LN_DadosExportados'!AL:AL,'2_LN_DadosExportados'!$V:$V,$C68,'2_LN_DadosExportados'!$A:$A,"X")+R68)/X68)*$D68,"")</f>
        <v>0</v>
      </c>
      <c r="F68" s="181">
        <f>IFERROR(((SUMIFS('2_LN_DadosExportados'!AM:AM,'2_LN_DadosExportados'!$V:$V,$C68,'2_LN_DadosExportados'!$A:$A,"X")+S68)/Y68)*$D68,"")</f>
        <v>4.0487182056163112E-2</v>
      </c>
      <c r="G68" s="181">
        <f>IFERROR(((SUMIFS('2_LN_DadosExportados'!AN:AN,'2_LN_DadosExportados'!$V:$V,$C68,'2_LN_DadosExportados'!$A:$A,"X")+T68)/Z68)*$D68,"")</f>
        <v>0</v>
      </c>
      <c r="H68" s="181">
        <f>IFERROR(((SUMIFS('2_LN_DadosExportados'!AO:AO,'2_LN_DadosExportados'!$V:$V,$C68,'2_LN_DadosExportados'!$A:$A,"X")+U68)/AA68)*$D68,"")</f>
        <v>0</v>
      </c>
      <c r="I68" s="181">
        <f>IFERROR(((SUMIFS('2_LN_DadosExportados'!AP:AP,'2_LN_DadosExportados'!$V:$V,$C68,'2_LN_DadosExportados'!$A:$A,"X")+V68)/AB68)*$D68,"")</f>
        <v>0</v>
      </c>
      <c r="J68" s="181">
        <f>IFERROR(((SUMIFS('2_LN_DadosExportados'!AQ:AQ,'2_LN_DadosExportados'!$V:$V,$C68,'2_LN_DadosExportados'!$A:$A,"X")+W68)/AC68)*$D68,"")</f>
        <v>0</v>
      </c>
      <c r="K68" s="179">
        <f t="shared" si="41"/>
        <v>0</v>
      </c>
      <c r="L68" s="179">
        <f t="shared" si="42"/>
        <v>4.0487182056163112E-2</v>
      </c>
      <c r="M68" s="179">
        <f t="shared" si="43"/>
        <v>0</v>
      </c>
      <c r="N68" s="179">
        <f t="shared" si="44"/>
        <v>0</v>
      </c>
      <c r="O68" s="179">
        <f t="shared" si="45"/>
        <v>0</v>
      </c>
      <c r="P68" s="179">
        <f t="shared" si="46"/>
        <v>0</v>
      </c>
      <c r="Q68" s="162">
        <v>90</v>
      </c>
      <c r="R68" s="163">
        <v>0</v>
      </c>
      <c r="S68" s="163">
        <v>157.6</v>
      </c>
      <c r="T68" s="163">
        <v>0</v>
      </c>
      <c r="U68" s="163">
        <v>0</v>
      </c>
      <c r="V68" s="163">
        <v>0</v>
      </c>
      <c r="W68" s="163">
        <v>0</v>
      </c>
      <c r="X68" s="164">
        <f t="shared" si="17"/>
        <v>3897.9900000000002</v>
      </c>
      <c r="Y68" s="164">
        <f t="shared" si="18"/>
        <v>3892.5900000000006</v>
      </c>
      <c r="Z68" s="164">
        <f t="shared" si="19"/>
        <v>4320.5400000000009</v>
      </c>
      <c r="AA68" s="164">
        <f t="shared" si="20"/>
        <v>4329.2700000000004</v>
      </c>
      <c r="AB68" s="164">
        <f t="shared" si="21"/>
        <v>4313.0700000000006</v>
      </c>
      <c r="AC68" s="164">
        <f t="shared" si="22"/>
        <v>4351.68</v>
      </c>
      <c r="AD68" s="165">
        <v>4331.1000000000004</v>
      </c>
      <c r="AE68" s="165">
        <v>4325.1000000000004</v>
      </c>
      <c r="AF68" s="165">
        <v>4800.6000000000004</v>
      </c>
      <c r="AG68" s="165">
        <v>4810.3</v>
      </c>
      <c r="AH68" s="165">
        <v>4792.3</v>
      </c>
      <c r="AI68" s="165">
        <v>4835.2</v>
      </c>
      <c r="AJ68" s="166">
        <v>0</v>
      </c>
      <c r="AK68" s="166">
        <v>48000</v>
      </c>
      <c r="AL68" s="166">
        <v>0</v>
      </c>
      <c r="AM68" s="166">
        <v>0</v>
      </c>
      <c r="AN68" s="166">
        <v>0</v>
      </c>
      <c r="AO68" s="166">
        <v>0</v>
      </c>
      <c r="AP68" s="2" t="str">
        <f>IFERROR(VLOOKUP(C68,'2_LN_DadosExportados'!V:V,1,FALSE),"")</f>
        <v/>
      </c>
      <c r="AQ68" t="str" cm="1">
        <f t="array" ref="AQ68">IF(AND(ISERR(FIND("sim",INDEX('existencia de wc'!K$2:K$193,MATCH('3_Industrial_Plan_Idash'!C68,'existencia de wc'!B$2:B$192,0))))=FALSE,SUMPRODUCT(('2_LN_DadosExportados'!V$2:V$314='3_Industrial_Plan_Idash'!C68)*('2_LN_DadosExportados'!A$2:A$314="X"))&gt;0), "MOSTRAR","")</f>
        <v/>
      </c>
    </row>
    <row r="69" spans="1:43" ht="15.75" thickBot="1" x14ac:dyDescent="0.3">
      <c r="A69" s="153" t="str">
        <f t="shared" ref="A69:A77" si="47">IF(OR(E69&gt;=D69,F69&gt;=D69,G69&gt;=D69,H69&gt;=D69,I69&gt;=D69,J69&gt;=D69),"INVEST","OK")</f>
        <v>OK</v>
      </c>
      <c r="B69" s="161" t="s">
        <v>803</v>
      </c>
      <c r="C69" s="161" t="s">
        <v>86</v>
      </c>
      <c r="D69" s="186">
        <v>1</v>
      </c>
      <c r="E69" s="181">
        <f>IFERROR(((SUMIFS('2_LN_DadosExportados'!AL:AL,'2_LN_DadosExportados'!$V:$V,$C69,'2_LN_DadosExportados'!$A:$A,"X")+R69)/X69)*$D69,"")</f>
        <v>0</v>
      </c>
      <c r="F69" s="181">
        <f>IFERROR(((SUMIFS('2_LN_DadosExportados'!AM:AM,'2_LN_DadosExportados'!$V:$V,$C69,'2_LN_DadosExportados'!$A:$A,"X")+S69)/Y69)*$D69,"")</f>
        <v>0</v>
      </c>
      <c r="G69" s="181">
        <f>IFERROR(((SUMIFS('2_LN_DadosExportados'!AN:AN,'2_LN_DadosExportados'!$V:$V,$C69,'2_LN_DadosExportados'!$A:$A,"X")+T69)/Z69)*$D69,"")</f>
        <v>0</v>
      </c>
      <c r="H69" s="181">
        <f>IFERROR(((SUMIFS('2_LN_DadosExportados'!AO:AO,'2_LN_DadosExportados'!$V:$V,$C69,'2_LN_DadosExportados'!$A:$A,"X")+U69)/AA69)*$D69,"")</f>
        <v>0</v>
      </c>
      <c r="I69" s="181">
        <f>IFERROR(((SUMIFS('2_LN_DadosExportados'!AP:AP,'2_LN_DadosExportados'!$V:$V,$C69,'2_LN_DadosExportados'!$A:$A,"X")+V69)/AB69)*$D69,"")</f>
        <v>0</v>
      </c>
      <c r="J69" s="181">
        <f>IFERROR(((SUMIFS('2_LN_DadosExportados'!AQ:AQ,'2_LN_DadosExportados'!$V:$V,$C69,'2_LN_DadosExportados'!$A:$A,"X")+W69)/AC69)*$D69,"")</f>
        <v>0</v>
      </c>
      <c r="K69" s="179">
        <f t="shared" si="41"/>
        <v>0</v>
      </c>
      <c r="L69" s="179">
        <f t="shared" si="42"/>
        <v>0</v>
      </c>
      <c r="M69" s="179">
        <f t="shared" si="43"/>
        <v>0</v>
      </c>
      <c r="N69" s="179">
        <f t="shared" si="44"/>
        <v>0</v>
      </c>
      <c r="O69" s="179">
        <f t="shared" si="45"/>
        <v>0</v>
      </c>
      <c r="P69" s="179">
        <f t="shared" si="46"/>
        <v>0</v>
      </c>
      <c r="Q69" s="162">
        <v>90</v>
      </c>
      <c r="R69" s="163">
        <v>0</v>
      </c>
      <c r="S69" s="163">
        <v>0</v>
      </c>
      <c r="T69" s="163">
        <v>0</v>
      </c>
      <c r="U69" s="163">
        <v>0</v>
      </c>
      <c r="V69" s="163">
        <v>0</v>
      </c>
      <c r="W69" s="163">
        <v>0</v>
      </c>
      <c r="X69" s="164">
        <f t="shared" ref="X69:X77" si="48">AD69*($Q69/100)</f>
        <v>3897.9900000000002</v>
      </c>
      <c r="Y69" s="164">
        <f t="shared" ref="Y69:Y77" si="49">AE69*($Q69/100)</f>
        <v>3892.5900000000006</v>
      </c>
      <c r="Z69" s="164">
        <f t="shared" ref="Z69:Z77" si="50">AF69*($Q69/100)</f>
        <v>4320.5400000000009</v>
      </c>
      <c r="AA69" s="164">
        <f t="shared" ref="AA69:AA77" si="51">AG69*($Q69/100)</f>
        <v>4329.2700000000004</v>
      </c>
      <c r="AB69" s="164">
        <f t="shared" ref="AB69:AB77" si="52">AH69*($Q69/100)</f>
        <v>4313.0700000000006</v>
      </c>
      <c r="AC69" s="164">
        <f t="shared" ref="AC69:AC77" si="53">AI69*($Q69/100)</f>
        <v>4351.68</v>
      </c>
      <c r="AD69" s="165">
        <v>4331.1000000000004</v>
      </c>
      <c r="AE69" s="165">
        <v>4325.1000000000004</v>
      </c>
      <c r="AF69" s="165">
        <v>4800.6000000000004</v>
      </c>
      <c r="AG69" s="165">
        <v>4810.3</v>
      </c>
      <c r="AH69" s="165">
        <v>4792.3</v>
      </c>
      <c r="AI69" s="165">
        <v>4835.2</v>
      </c>
      <c r="AJ69" s="166">
        <v>45317269.520000003</v>
      </c>
      <c r="AK69" s="166">
        <v>35375499</v>
      </c>
      <c r="AL69" s="166">
        <v>36983333</v>
      </c>
      <c r="AM69" s="166">
        <v>38498115</v>
      </c>
      <c r="AN69" s="166">
        <v>40011733</v>
      </c>
      <c r="AO69" s="166">
        <v>42039369</v>
      </c>
      <c r="AP69" s="2" t="str">
        <f>IFERROR(VLOOKUP(C69,'2_LN_DadosExportados'!V:V,1,FALSE),"")</f>
        <v>WC - Preparação Ferrament - GF</v>
      </c>
      <c r="AQ69" t="str" cm="1">
        <f t="array" ref="AQ69">IF(AND(ISERR(FIND("sim",INDEX('existencia de wc'!K$2:K$193,MATCH('3_Industrial_Plan_Idash'!C69,'existencia de wc'!B$2:B$192,0))))=FALSE,SUMPRODUCT(('2_LN_DadosExportados'!V$2:V$314='3_Industrial_Plan_Idash'!C69)*('2_LN_DadosExportados'!A$2:A$314="X"))&gt;0), "MOSTRAR","")</f>
        <v/>
      </c>
    </row>
    <row r="70" spans="1:43" ht="15.75" thickBot="1" x14ac:dyDescent="0.3">
      <c r="A70" s="153" t="str">
        <f t="shared" si="47"/>
        <v>INVEST</v>
      </c>
      <c r="B70" s="161" t="s">
        <v>804</v>
      </c>
      <c r="C70" s="161" t="s">
        <v>52</v>
      </c>
      <c r="D70" s="186">
        <v>5</v>
      </c>
      <c r="E70" s="181">
        <f>IFERROR(((SUMIFS('2_LN_DadosExportados'!AL:AL,'2_LN_DadosExportados'!$V:$V,$C70,'2_LN_DadosExportados'!$A:$A,"X")+R70)/X70)*$D70,"")</f>
        <v>5.5561558649457794</v>
      </c>
      <c r="F70" s="181">
        <f>IFERROR(((SUMIFS('2_LN_DadosExportados'!AM:AM,'2_LN_DadosExportados'!$V:$V,$C70,'2_LN_DadosExportados'!$A:$A,"X")+S70)/Y70)*$D70,"")</f>
        <v>5.2005091725560613</v>
      </c>
      <c r="G70" s="181">
        <f>IFERROR(((SUMIFS('2_LN_DadosExportados'!AN:AN,'2_LN_DadosExportados'!$V:$V,$C70,'2_LN_DadosExportados'!$A:$A,"X")+T70)/Z70)*$D70,"")</f>
        <v>4.9159202321931978</v>
      </c>
      <c r="H70" s="181">
        <f>IFERROR(((SUMIFS('2_LN_DadosExportados'!AO:AO,'2_LN_DadosExportados'!$V:$V,$C70,'2_LN_DadosExportados'!$A:$A,"X")+U70)/AA70)*$D70,"")</f>
        <v>5.1476599981059152</v>
      </c>
      <c r="I70" s="181">
        <f>IFERROR(((SUMIFS('2_LN_DadosExportados'!AP:AP,'2_LN_DadosExportados'!$V:$V,$C70,'2_LN_DadosExportados'!$A:$A,"X")+V70)/AB70)*$D70,"")</f>
        <v>5.3955419225748704</v>
      </c>
      <c r="J70" s="181">
        <f>IFERROR(((SUMIFS('2_LN_DadosExportados'!AQ:AQ,'2_LN_DadosExportados'!$V:$V,$C70,'2_LN_DadosExportados'!$A:$A,"X")+W70)/AC70)*$D70,"")</f>
        <v>5.4232411390543414</v>
      </c>
      <c r="K70" s="179">
        <f t="shared" si="41"/>
        <v>5.5561558649457794</v>
      </c>
      <c r="L70" s="179">
        <f t="shared" si="42"/>
        <v>5.2005091725560613</v>
      </c>
      <c r="M70" s="179">
        <f t="shared" si="43"/>
        <v>4.9159202321931978</v>
      </c>
      <c r="N70" s="179">
        <f t="shared" si="44"/>
        <v>5.1476599981059152</v>
      </c>
      <c r="O70" s="179">
        <f t="shared" si="45"/>
        <v>5.3955419225748704</v>
      </c>
      <c r="P70" s="179">
        <f t="shared" si="46"/>
        <v>5.4232411390543414</v>
      </c>
      <c r="Q70" s="162">
        <v>90</v>
      </c>
      <c r="R70" s="163">
        <v>21657.84</v>
      </c>
      <c r="S70" s="163">
        <v>20243.45</v>
      </c>
      <c r="T70" s="163">
        <v>21239.43</v>
      </c>
      <c r="U70" s="163">
        <v>22285.61</v>
      </c>
      <c r="V70" s="163">
        <v>23271.35</v>
      </c>
      <c r="W70" s="163">
        <v>23600.21</v>
      </c>
      <c r="X70" s="164">
        <f>AD70*($Q70/100)</f>
        <v>19489.95</v>
      </c>
      <c r="Y70" s="164">
        <f t="shared" si="49"/>
        <v>19462.95</v>
      </c>
      <c r="Z70" s="164">
        <f t="shared" si="50"/>
        <v>21602.7</v>
      </c>
      <c r="AA70" s="164">
        <f t="shared" si="51"/>
        <v>21646.350000000002</v>
      </c>
      <c r="AB70" s="164">
        <f t="shared" si="52"/>
        <v>21565.350000000002</v>
      </c>
      <c r="AC70" s="164">
        <f t="shared" si="53"/>
        <v>21758.400000000001</v>
      </c>
      <c r="AD70" s="165">
        <v>21655.5</v>
      </c>
      <c r="AE70" s="165">
        <v>21625.5</v>
      </c>
      <c r="AF70" s="165">
        <v>24003</v>
      </c>
      <c r="AG70" s="165">
        <v>24051.5</v>
      </c>
      <c r="AH70" s="165">
        <v>23961.5</v>
      </c>
      <c r="AI70" s="165">
        <v>24176</v>
      </c>
      <c r="AJ70" s="166">
        <v>43479989.520000003</v>
      </c>
      <c r="AK70" s="166">
        <v>32933156</v>
      </c>
      <c r="AL70" s="166">
        <v>34629728</v>
      </c>
      <c r="AM70" s="166">
        <v>36349399</v>
      </c>
      <c r="AN70" s="166">
        <v>38067911</v>
      </c>
      <c r="AO70" s="166">
        <v>40168228</v>
      </c>
      <c r="AP70" s="2" t="str">
        <f>IFERROR(VLOOKUP(C70,'2_LN_DadosExportados'!V:V,1,FALSE),"")</f>
        <v>WC - Embalagem manual</v>
      </c>
      <c r="AQ70" t="str" cm="1">
        <f t="array" ref="AQ70">IF(AND(ISERR(FIND("sim",INDEX('existencia de wc'!K$2:K$193,MATCH('3_Industrial_Plan_Idash'!C70,'existencia de wc'!B$2:B$192,0))))=FALSE,SUMPRODUCT(('2_LN_DadosExportados'!V$2:V$314='3_Industrial_Plan_Idash'!C70)*('2_LN_DadosExportados'!A$2:A$314="X"))&gt;0), "MOSTRAR","")</f>
        <v/>
      </c>
    </row>
    <row r="71" spans="1:43" ht="15.75" thickBot="1" x14ac:dyDescent="0.3">
      <c r="A71" s="153" t="str">
        <f t="shared" si="47"/>
        <v>INVEST</v>
      </c>
      <c r="B71" s="161" t="s">
        <v>264</v>
      </c>
      <c r="C71" s="161" t="s">
        <v>56</v>
      </c>
      <c r="D71" s="186">
        <v>0</v>
      </c>
      <c r="E71" s="181" t="str">
        <f>IFERROR(((SUMIFS('2_LN_DadosExportados'!AL:AL,'2_LN_DadosExportados'!$V:$V,$C71,'2_LN_DadosExportados'!$A:$A,"X")+R71)/X71)*$D71,"")</f>
        <v/>
      </c>
      <c r="F71" s="181" t="str">
        <f>IFERROR(((SUMIFS('2_LN_DadosExportados'!AM:AM,'2_LN_DadosExportados'!$V:$V,$C71,'2_LN_DadosExportados'!$A:$A,"X")+S71)/Y71)*$D71,"")</f>
        <v/>
      </c>
      <c r="G71" s="181" t="str">
        <f>IFERROR(((SUMIFS('2_LN_DadosExportados'!AN:AN,'2_LN_DadosExportados'!$V:$V,$C71,'2_LN_DadosExportados'!$A:$A,"X")+T71)/Z71)*$D71,"")</f>
        <v/>
      </c>
      <c r="H71" s="181" t="str">
        <f>IFERROR(((SUMIFS('2_LN_DadosExportados'!AO:AO,'2_LN_DadosExportados'!$V:$V,$C71,'2_LN_DadosExportados'!$A:$A,"X")+U71)/AA71)*$D71,"")</f>
        <v/>
      </c>
      <c r="I71" s="181" t="str">
        <f>IFERROR(((SUMIFS('2_LN_DadosExportados'!AP:AP,'2_LN_DadosExportados'!$V:$V,$C71,'2_LN_DadosExportados'!$A:$A,"X")+V71)/AB71)*$D71,"")</f>
        <v/>
      </c>
      <c r="J71" s="181" t="str">
        <f>IFERROR(((SUMIFS('2_LN_DadosExportados'!AQ:AQ,'2_LN_DadosExportados'!$V:$V,$C71,'2_LN_DadosExportados'!$A:$A,"X")+W71)/AC71)*$D71,"")</f>
        <v/>
      </c>
      <c r="K71" s="179" t="str">
        <f t="shared" si="41"/>
        <v/>
      </c>
      <c r="L71" s="179" t="str">
        <f t="shared" si="42"/>
        <v/>
      </c>
      <c r="M71" s="179" t="str">
        <f t="shared" si="43"/>
        <v/>
      </c>
      <c r="N71" s="179" t="str">
        <f t="shared" si="44"/>
        <v/>
      </c>
      <c r="O71" s="179" t="str">
        <f t="shared" si="45"/>
        <v/>
      </c>
      <c r="P71" s="179" t="str">
        <f t="shared" si="46"/>
        <v/>
      </c>
      <c r="Q71" s="162">
        <v>0</v>
      </c>
      <c r="R71" s="163">
        <v>0</v>
      </c>
      <c r="S71" s="163">
        <v>0</v>
      </c>
      <c r="T71" s="163">
        <v>0</v>
      </c>
      <c r="U71" s="163">
        <v>0</v>
      </c>
      <c r="V71" s="163">
        <v>0</v>
      </c>
      <c r="W71" s="163">
        <v>0</v>
      </c>
      <c r="X71" s="164">
        <f t="shared" si="48"/>
        <v>0</v>
      </c>
      <c r="Y71" s="164">
        <f t="shared" si="49"/>
        <v>0</v>
      </c>
      <c r="Z71" s="164">
        <f t="shared" si="50"/>
        <v>0</v>
      </c>
      <c r="AA71" s="164">
        <f t="shared" si="51"/>
        <v>0</v>
      </c>
      <c r="AB71" s="164">
        <f t="shared" si="52"/>
        <v>0</v>
      </c>
      <c r="AC71" s="164">
        <f t="shared" si="53"/>
        <v>0</v>
      </c>
      <c r="AD71" s="165">
        <v>0</v>
      </c>
      <c r="AE71" s="165">
        <v>0</v>
      </c>
      <c r="AF71" s="165">
        <v>0</v>
      </c>
      <c r="AG71" s="165">
        <v>0</v>
      </c>
      <c r="AH71" s="165">
        <v>0</v>
      </c>
      <c r="AI71" s="165">
        <v>0</v>
      </c>
      <c r="AJ71" s="166">
        <v>7407908.5199999996</v>
      </c>
      <c r="AK71" s="166">
        <v>6756118</v>
      </c>
      <c r="AL71" s="166">
        <v>6792118</v>
      </c>
      <c r="AM71" s="166">
        <v>6855118</v>
      </c>
      <c r="AN71" s="166">
        <v>6921268</v>
      </c>
      <c r="AO71" s="166">
        <v>6990726</v>
      </c>
      <c r="AP71" s="2" t="str">
        <f>IFERROR(VLOOKUP(C71,'2_LN_DadosExportados'!V:V,1,FALSE),"")</f>
        <v>WC - Expedir Subcontratado</v>
      </c>
      <c r="AQ71" t="str" cm="1">
        <f t="array" ref="AQ71">IF(AND(ISERR(FIND("sim",INDEX('existencia de wc'!K$2:K$193,MATCH('3_Industrial_Plan_Idash'!C71,'existencia de wc'!B$2:B$192,0))))=FALSE,SUMPRODUCT(('2_LN_DadosExportados'!V$2:V$314='3_Industrial_Plan_Idash'!C71)*('2_LN_DadosExportados'!A$2:A$314="X"))&gt;0), "MOSTRAR","")</f>
        <v/>
      </c>
    </row>
    <row r="72" spans="1:43" ht="15.75" thickBot="1" x14ac:dyDescent="0.3">
      <c r="A72" s="153" t="str">
        <f t="shared" si="47"/>
        <v>INVEST</v>
      </c>
      <c r="B72" s="161" t="s">
        <v>805</v>
      </c>
      <c r="C72" s="161" t="s">
        <v>68</v>
      </c>
      <c r="D72" s="186">
        <v>0</v>
      </c>
      <c r="E72" s="181" t="str">
        <f>IFERROR(((SUMIFS('2_LN_DadosExportados'!AL:AL,'2_LN_DadosExportados'!$V:$V,$C72,'2_LN_DadosExportados'!$A:$A,"X")+R72)/X72)*$D72,"")</f>
        <v/>
      </c>
      <c r="F72" s="181" t="str">
        <f>IFERROR(((SUMIFS('2_LN_DadosExportados'!AM:AM,'2_LN_DadosExportados'!$V:$V,$C72,'2_LN_DadosExportados'!$A:$A,"X")+S72)/Y72)*$D72,"")</f>
        <v/>
      </c>
      <c r="G72" s="181" t="str">
        <f>IFERROR(((SUMIFS('2_LN_DadosExportados'!AN:AN,'2_LN_DadosExportados'!$V:$V,$C72,'2_LN_DadosExportados'!$A:$A,"X")+T72)/Z72)*$D72,"")</f>
        <v/>
      </c>
      <c r="H72" s="181" t="str">
        <f>IFERROR(((SUMIFS('2_LN_DadosExportados'!AO:AO,'2_LN_DadosExportados'!$V:$V,$C72,'2_LN_DadosExportados'!$A:$A,"X")+U72)/AA72)*$D72,"")</f>
        <v/>
      </c>
      <c r="I72" s="181" t="str">
        <f>IFERROR(((SUMIFS('2_LN_DadosExportados'!AP:AP,'2_LN_DadosExportados'!$V:$V,$C72,'2_LN_DadosExportados'!$A:$A,"X")+V72)/AB72)*$D72,"")</f>
        <v/>
      </c>
      <c r="J72" s="181" t="str">
        <f>IFERROR(((SUMIFS('2_LN_DadosExportados'!AQ:AQ,'2_LN_DadosExportados'!$V:$V,$C72,'2_LN_DadosExportados'!$A:$A,"X")+W72)/AC72)*$D72,"")</f>
        <v/>
      </c>
      <c r="K72" s="179" t="str">
        <f t="shared" si="41"/>
        <v/>
      </c>
      <c r="L72" s="179" t="str">
        <f t="shared" si="42"/>
        <v/>
      </c>
      <c r="M72" s="179" t="str">
        <f t="shared" si="43"/>
        <v/>
      </c>
      <c r="N72" s="179" t="str">
        <f t="shared" si="44"/>
        <v/>
      </c>
      <c r="O72" s="179" t="str">
        <f t="shared" si="45"/>
        <v/>
      </c>
      <c r="P72" s="179" t="str">
        <f t="shared" si="46"/>
        <v/>
      </c>
      <c r="Q72" s="162">
        <v>0</v>
      </c>
      <c r="R72" s="163">
        <v>7042.99</v>
      </c>
      <c r="S72" s="163">
        <v>8605.24</v>
      </c>
      <c r="T72" s="163">
        <v>8983.84</v>
      </c>
      <c r="U72" s="163">
        <v>9124.0300000000007</v>
      </c>
      <c r="V72" s="163">
        <v>9266.5499999999993</v>
      </c>
      <c r="W72" s="163">
        <v>9428.0499999999993</v>
      </c>
      <c r="X72" s="164">
        <f t="shared" si="48"/>
        <v>0</v>
      </c>
      <c r="Y72" s="164">
        <f t="shared" si="49"/>
        <v>0</v>
      </c>
      <c r="Z72" s="164">
        <f t="shared" si="50"/>
        <v>0</v>
      </c>
      <c r="AA72" s="164">
        <f t="shared" si="51"/>
        <v>0</v>
      </c>
      <c r="AB72" s="164">
        <f t="shared" si="52"/>
        <v>0</v>
      </c>
      <c r="AC72" s="164">
        <f t="shared" si="53"/>
        <v>0</v>
      </c>
      <c r="AD72" s="165">
        <v>0</v>
      </c>
      <c r="AE72" s="165">
        <v>0</v>
      </c>
      <c r="AF72" s="165">
        <v>0</v>
      </c>
      <c r="AG72" s="165">
        <v>0</v>
      </c>
      <c r="AH72" s="165">
        <v>0</v>
      </c>
      <c r="AI72" s="165">
        <v>0</v>
      </c>
      <c r="AJ72" s="166">
        <v>2905923.52</v>
      </c>
      <c r="AK72" s="166">
        <v>3805034</v>
      </c>
      <c r="AL72" s="166">
        <v>3960091</v>
      </c>
      <c r="AM72" s="166">
        <v>4046826</v>
      </c>
      <c r="AN72" s="166">
        <v>4138271</v>
      </c>
      <c r="AO72" s="166">
        <v>4253665</v>
      </c>
      <c r="AP72" s="2" t="str">
        <f>IFERROR(VLOOKUP(C72,'2_LN_DadosExportados'!V:V,1,FALSE),"")</f>
        <v>WC - Selecionar 100%</v>
      </c>
      <c r="AQ72" t="str" cm="1">
        <f t="array" ref="AQ72">IF(AND(ISERR(FIND("sim",INDEX('existencia de wc'!K$2:K$193,MATCH('3_Industrial_Plan_Idash'!C72,'existencia de wc'!B$2:B$192,0))))=FALSE,SUMPRODUCT(('2_LN_DadosExportados'!V$2:V$314='3_Industrial_Plan_Idash'!C72)*('2_LN_DadosExportados'!A$2:A$314="X"))&gt;0), "MOSTRAR","")</f>
        <v/>
      </c>
    </row>
    <row r="73" spans="1:43" ht="15.75" thickBot="1" x14ac:dyDescent="0.3">
      <c r="A73" s="153" t="str">
        <f t="shared" si="47"/>
        <v>INVEST</v>
      </c>
      <c r="B73" s="161" t="s">
        <v>806</v>
      </c>
      <c r="C73" s="161" t="s">
        <v>62</v>
      </c>
      <c r="D73" s="186">
        <v>0</v>
      </c>
      <c r="E73" s="181" t="str">
        <f>IFERROR(((SUMIFS('2_LN_DadosExportados'!AL:AL,'2_LN_DadosExportados'!$V:$V,$C73,'2_LN_DadosExportados'!$A:$A,"X")+R73)/X73)*$D73,"")</f>
        <v/>
      </c>
      <c r="F73" s="181" t="str">
        <f>IFERROR(((SUMIFS('2_LN_DadosExportados'!AM:AM,'2_LN_DadosExportados'!$V:$V,$C73,'2_LN_DadosExportados'!$A:$A,"X")+S73)/Y73)*$D73,"")</f>
        <v/>
      </c>
      <c r="G73" s="181" t="str">
        <f>IFERROR(((SUMIFS('2_LN_DadosExportados'!AN:AN,'2_LN_DadosExportados'!$V:$V,$C73,'2_LN_DadosExportados'!$A:$A,"X")+T73)/Z73)*$D73,"")</f>
        <v/>
      </c>
      <c r="H73" s="181" t="str">
        <f>IFERROR(((SUMIFS('2_LN_DadosExportados'!AO:AO,'2_LN_DadosExportados'!$V:$V,$C73,'2_LN_DadosExportados'!$A:$A,"X")+U73)/AA73)*$D73,"")</f>
        <v/>
      </c>
      <c r="I73" s="181" t="str">
        <f>IFERROR(((SUMIFS('2_LN_DadosExportados'!AP:AP,'2_LN_DadosExportados'!$V:$V,$C73,'2_LN_DadosExportados'!$A:$A,"X")+V73)/AB73)*$D73,"")</f>
        <v/>
      </c>
      <c r="J73" s="181" t="str">
        <f>IFERROR(((SUMIFS('2_LN_DadosExportados'!AQ:AQ,'2_LN_DadosExportados'!$V:$V,$C73,'2_LN_DadosExportados'!$A:$A,"X")+W73)/AC73)*$D73,"")</f>
        <v/>
      </c>
      <c r="K73" s="179" t="str">
        <f t="shared" si="41"/>
        <v/>
      </c>
      <c r="L73" s="179" t="str">
        <f t="shared" si="42"/>
        <v/>
      </c>
      <c r="M73" s="179" t="str">
        <f t="shared" si="43"/>
        <v/>
      </c>
      <c r="N73" s="179" t="str">
        <f t="shared" si="44"/>
        <v/>
      </c>
      <c r="O73" s="179" t="str">
        <f t="shared" si="45"/>
        <v/>
      </c>
      <c r="P73" s="179" t="str">
        <f t="shared" si="46"/>
        <v/>
      </c>
      <c r="Q73" s="162">
        <v>0</v>
      </c>
      <c r="R73" s="163">
        <v>208.85</v>
      </c>
      <c r="S73" s="163">
        <v>74.16</v>
      </c>
      <c r="T73" s="163">
        <v>73.03</v>
      </c>
      <c r="U73" s="163">
        <v>71.92</v>
      </c>
      <c r="V73" s="163">
        <v>70.760000000000005</v>
      </c>
      <c r="W73" s="163">
        <v>69.64</v>
      </c>
      <c r="X73" s="164">
        <f t="shared" si="48"/>
        <v>0</v>
      </c>
      <c r="Y73" s="164">
        <f t="shared" si="49"/>
        <v>0</v>
      </c>
      <c r="Z73" s="164">
        <f t="shared" si="50"/>
        <v>0</v>
      </c>
      <c r="AA73" s="164">
        <f t="shared" si="51"/>
        <v>0</v>
      </c>
      <c r="AB73" s="164">
        <f t="shared" si="52"/>
        <v>0</v>
      </c>
      <c r="AC73" s="164">
        <f t="shared" si="53"/>
        <v>0</v>
      </c>
      <c r="AD73" s="165">
        <v>0</v>
      </c>
      <c r="AE73" s="165">
        <v>0</v>
      </c>
      <c r="AF73" s="165">
        <v>0</v>
      </c>
      <c r="AG73" s="165">
        <v>0</v>
      </c>
      <c r="AH73" s="165">
        <v>0</v>
      </c>
      <c r="AI73" s="165">
        <v>0</v>
      </c>
      <c r="AJ73" s="166">
        <v>6190618.5199999996</v>
      </c>
      <c r="AK73" s="166">
        <v>5411373</v>
      </c>
      <c r="AL73" s="166">
        <v>5447373</v>
      </c>
      <c r="AM73" s="166">
        <v>5510373</v>
      </c>
      <c r="AN73" s="166">
        <v>5576523</v>
      </c>
      <c r="AO73" s="166">
        <v>5645981</v>
      </c>
      <c r="AP73" s="2" t="str">
        <f>IFERROR(VLOOKUP(C73,'2_LN_DadosExportados'!V:V,1,FALSE),"")</f>
        <v>WC - Inspecionar</v>
      </c>
      <c r="AQ73" t="str" cm="1">
        <f t="array" ref="AQ73">IF(AND(ISERR(FIND("sim",INDEX('existencia de wc'!K$2:K$193,MATCH('3_Industrial_Plan_Idash'!C73,'existencia de wc'!B$2:B$192,0))))=FALSE,SUMPRODUCT(('2_LN_DadosExportados'!V$2:V$314='3_Industrial_Plan_Idash'!C73)*('2_LN_DadosExportados'!A$2:A$314="X"))&gt;0), "MOSTRAR","")</f>
        <v/>
      </c>
    </row>
    <row r="74" spans="1:43" ht="15.75" hidden="1" thickBot="1" x14ac:dyDescent="0.3">
      <c r="A74" s="153" t="str">
        <f t="shared" si="47"/>
        <v>OK</v>
      </c>
      <c r="B74" s="161" t="s">
        <v>807</v>
      </c>
      <c r="C74" s="161" t="s">
        <v>808</v>
      </c>
      <c r="D74" s="186">
        <v>2</v>
      </c>
      <c r="E74" s="181">
        <f>IFERROR(((SUMIFS('2_LN_DadosExportados'!AL:AL,'2_LN_DadosExportados'!$V:$V,$C74,'2_LN_DadosExportados'!$A:$A,"X")+R74)/X74)*$D74,"")</f>
        <v>1.6687537807855355</v>
      </c>
      <c r="F74" s="181">
        <f>IFERROR(((SUMIFS('2_LN_DadosExportados'!AM:AM,'2_LN_DadosExportados'!$V:$V,$C74,'2_LN_DadosExportados'!$A:$A,"X")+S74)/Y74)*$D74,"")</f>
        <v>1.4249689795226312</v>
      </c>
      <c r="G74" s="181">
        <f>IFERROR(((SUMIFS('2_LN_DadosExportados'!AN:AN,'2_LN_DadosExportados'!$V:$V,$C74,'2_LN_DadosExportados'!$A:$A,"X")+T74)/Z74)*$D74,"")</f>
        <v>1.2682773269128322</v>
      </c>
      <c r="H74" s="181">
        <f>IFERROR(((SUMIFS('2_LN_DadosExportados'!AO:AO,'2_LN_DadosExportados'!$V:$V,$C74,'2_LN_DadosExportados'!$A:$A,"X")+U74)/AA74)*$D74,"")</f>
        <v>1.2656360079181939</v>
      </c>
      <c r="I74" s="181">
        <f>IFERROR(((SUMIFS('2_LN_DadosExportados'!AP:AP,'2_LN_DadosExportados'!$V:$V,$C74,'2_LN_DadosExportados'!$A:$A,"X")+V74)/AB74)*$D74,"")</f>
        <v>1.2619829784874694</v>
      </c>
      <c r="J74" s="181">
        <f>IFERROR(((SUMIFS('2_LN_DadosExportados'!AQ:AQ,'2_LN_DadosExportados'!$V:$V,$C74,'2_LN_DadosExportados'!$A:$A,"X")+W74)/AC74)*$D74,"")</f>
        <v>1.2492598317018719</v>
      </c>
      <c r="K74" s="179">
        <f t="shared" si="41"/>
        <v>1.6687537807855355</v>
      </c>
      <c r="L74" s="179">
        <f t="shared" si="42"/>
        <v>1.4249689795226312</v>
      </c>
      <c r="M74" s="179">
        <f t="shared" si="43"/>
        <v>1.2682773269128322</v>
      </c>
      <c r="N74" s="179">
        <f t="shared" si="44"/>
        <v>1.2656360079181939</v>
      </c>
      <c r="O74" s="179">
        <f t="shared" si="45"/>
        <v>1.2619829784874694</v>
      </c>
      <c r="P74" s="179">
        <f t="shared" si="46"/>
        <v>1.2492598317018719</v>
      </c>
      <c r="Q74" s="162">
        <v>90</v>
      </c>
      <c r="R74" s="163">
        <v>6924.11</v>
      </c>
      <c r="S74" s="163">
        <v>5546.82</v>
      </c>
      <c r="T74" s="163">
        <v>5499.39</v>
      </c>
      <c r="U74" s="163">
        <v>5479.28</v>
      </c>
      <c r="V74" s="163">
        <v>5462.67</v>
      </c>
      <c r="W74" s="163">
        <v>5455.83</v>
      </c>
      <c r="X74" s="164">
        <f t="shared" si="48"/>
        <v>8298.5400000000009</v>
      </c>
      <c r="Y74" s="164">
        <f t="shared" si="49"/>
        <v>7785.1800000000012</v>
      </c>
      <c r="Z74" s="164">
        <f t="shared" si="50"/>
        <v>8672.2199999999993</v>
      </c>
      <c r="AA74" s="164">
        <f t="shared" si="51"/>
        <v>8658.5400000000009</v>
      </c>
      <c r="AB74" s="164">
        <f t="shared" si="52"/>
        <v>8657.2800000000007</v>
      </c>
      <c r="AC74" s="164">
        <f t="shared" si="53"/>
        <v>8734.5</v>
      </c>
      <c r="AD74" s="165">
        <v>9220.6</v>
      </c>
      <c r="AE74" s="165">
        <v>8650.2000000000007</v>
      </c>
      <c r="AF74" s="165">
        <v>9635.7999999999993</v>
      </c>
      <c r="AG74" s="165">
        <v>9620.6</v>
      </c>
      <c r="AH74" s="165">
        <v>9619.2000000000007</v>
      </c>
      <c r="AI74" s="165">
        <v>9705</v>
      </c>
      <c r="AJ74" s="166">
        <v>3590396.52</v>
      </c>
      <c r="AK74" s="166">
        <v>3322545</v>
      </c>
      <c r="AL74" s="166">
        <v>3353104</v>
      </c>
      <c r="AM74" s="166">
        <v>3407496</v>
      </c>
      <c r="AN74" s="166">
        <v>3466599</v>
      </c>
      <c r="AO74" s="166">
        <v>3536057</v>
      </c>
      <c r="AP74" s="2" t="str">
        <f>IFERROR(VLOOKUP(C74,'2_LN_DadosExportados'!V:V,1,FALSE),"")</f>
        <v/>
      </c>
      <c r="AQ74" t="str" cm="1">
        <f t="array" ref="AQ74">IF(AND(ISERR(FIND("sim",INDEX('existencia de wc'!K$2:K$193,MATCH('3_Industrial_Plan_Idash'!C74,'existencia de wc'!B$2:B$192,0))))=FALSE,SUMPRODUCT(('2_LN_DadosExportados'!V$2:V$314='3_Industrial_Plan_Idash'!C74)*('2_LN_DadosExportados'!A$2:A$314="X"))&gt;0), "MOSTRAR","")</f>
        <v/>
      </c>
    </row>
    <row r="75" spans="1:43" ht="15.75" thickBot="1" x14ac:dyDescent="0.3">
      <c r="A75" s="153" t="str">
        <f t="shared" si="47"/>
        <v>INVEST</v>
      </c>
      <c r="B75" s="161" t="s">
        <v>809</v>
      </c>
      <c r="C75" s="161" t="s">
        <v>75</v>
      </c>
      <c r="D75" s="186">
        <v>0</v>
      </c>
      <c r="E75" s="181" t="str">
        <f>IFERROR(((SUMIFS('2_LN_DadosExportados'!AL:AL,'2_LN_DadosExportados'!$V:$V,$C75,'2_LN_DadosExportados'!$A:$A,"X")+R75)/X75)*$D75,"")</f>
        <v/>
      </c>
      <c r="F75" s="181" t="str">
        <f>IFERROR(((SUMIFS('2_LN_DadosExportados'!AM:AM,'2_LN_DadosExportados'!$V:$V,$C75,'2_LN_DadosExportados'!$A:$A,"X")+S75)/Y75)*$D75,"")</f>
        <v/>
      </c>
      <c r="G75" s="181" t="str">
        <f>IFERROR(((SUMIFS('2_LN_DadosExportados'!AN:AN,'2_LN_DadosExportados'!$V:$V,$C75,'2_LN_DadosExportados'!$A:$A,"X")+T75)/Z75)*$D75,"")</f>
        <v/>
      </c>
      <c r="H75" s="181" t="str">
        <f>IFERROR(((SUMIFS('2_LN_DadosExportados'!AO:AO,'2_LN_DadosExportados'!$V:$V,$C75,'2_LN_DadosExportados'!$A:$A,"X")+U75)/AA75)*$D75,"")</f>
        <v/>
      </c>
      <c r="I75" s="181" t="str">
        <f>IFERROR(((SUMIFS('2_LN_DadosExportados'!AP:AP,'2_LN_DadosExportados'!$V:$V,$C75,'2_LN_DadosExportados'!$A:$A,"X")+V75)/AB75)*$D75,"")</f>
        <v/>
      </c>
      <c r="J75" s="181" t="str">
        <f>IFERROR(((SUMIFS('2_LN_DadosExportados'!AQ:AQ,'2_LN_DadosExportados'!$V:$V,$C75,'2_LN_DadosExportados'!$A:$A,"X")+W75)/AC75)*$D75,"")</f>
        <v/>
      </c>
      <c r="K75" s="179" t="str">
        <f t="shared" si="41"/>
        <v/>
      </c>
      <c r="L75" s="179" t="str">
        <f t="shared" si="42"/>
        <v/>
      </c>
      <c r="M75" s="179" t="str">
        <f t="shared" si="43"/>
        <v/>
      </c>
      <c r="N75" s="179" t="str">
        <f t="shared" si="44"/>
        <v/>
      </c>
      <c r="O75" s="179" t="str">
        <f t="shared" si="45"/>
        <v/>
      </c>
      <c r="P75" s="179" t="str">
        <f t="shared" si="46"/>
        <v/>
      </c>
      <c r="Q75" s="162">
        <v>0</v>
      </c>
      <c r="R75" s="163">
        <v>0</v>
      </c>
      <c r="S75" s="163">
        <v>0</v>
      </c>
      <c r="T75" s="163">
        <v>0</v>
      </c>
      <c r="U75" s="163">
        <v>0</v>
      </c>
      <c r="V75" s="163">
        <v>0</v>
      </c>
      <c r="W75" s="163">
        <v>0</v>
      </c>
      <c r="X75" s="164">
        <f t="shared" si="48"/>
        <v>0</v>
      </c>
      <c r="Y75" s="164">
        <f t="shared" si="49"/>
        <v>0</v>
      </c>
      <c r="Z75" s="164">
        <f t="shared" si="50"/>
        <v>0</v>
      </c>
      <c r="AA75" s="164">
        <f t="shared" si="51"/>
        <v>0</v>
      </c>
      <c r="AB75" s="164">
        <f t="shared" si="52"/>
        <v>0</v>
      </c>
      <c r="AC75" s="164">
        <f t="shared" si="53"/>
        <v>0</v>
      </c>
      <c r="AD75" s="165">
        <v>0</v>
      </c>
      <c r="AE75" s="165">
        <v>0</v>
      </c>
      <c r="AF75" s="165">
        <v>0</v>
      </c>
      <c r="AG75" s="165">
        <v>0</v>
      </c>
      <c r="AH75" s="165">
        <v>0</v>
      </c>
      <c r="AI75" s="165">
        <v>0</v>
      </c>
      <c r="AJ75" s="166">
        <v>38993472.520000003</v>
      </c>
      <c r="AK75" s="166">
        <v>29751089</v>
      </c>
      <c r="AL75" s="166">
        <v>34273629</v>
      </c>
      <c r="AM75" s="166">
        <v>38794526</v>
      </c>
      <c r="AN75" s="166">
        <v>43308402</v>
      </c>
      <c r="AO75" s="166">
        <v>48007557</v>
      </c>
      <c r="AP75" s="2" t="str">
        <f>IFERROR(VLOOKUP(C75,'2_LN_DadosExportados'!V:V,1,FALSE),"")</f>
        <v>WC - Auditoria Final</v>
      </c>
      <c r="AQ75" t="str" cm="1">
        <f t="array" ref="AQ75">IF(AND(ISERR(FIND("sim",INDEX('existencia de wc'!K$2:K$193,MATCH('3_Industrial_Plan_Idash'!C75,'existencia de wc'!B$2:B$192,0))))=FALSE,SUMPRODUCT(('2_LN_DadosExportados'!V$2:V$314='3_Industrial_Plan_Idash'!C75)*('2_LN_DadosExportados'!A$2:A$314="X"))&gt;0), "MOSTRAR","")</f>
        <v/>
      </c>
    </row>
    <row r="76" spans="1:43" ht="15.75" hidden="1" thickBot="1" x14ac:dyDescent="0.3">
      <c r="A76" s="153" t="str">
        <f t="shared" si="47"/>
        <v>INVEST</v>
      </c>
      <c r="B76" s="161" t="s">
        <v>810</v>
      </c>
      <c r="C76" s="161" t="s">
        <v>811</v>
      </c>
      <c r="D76" s="186">
        <v>0</v>
      </c>
      <c r="E76" s="181" t="str">
        <f>IFERROR(((SUMIFS('2_LN_DadosExportados'!AL:AL,'2_LN_DadosExportados'!$V:$V,$C76,'2_LN_DadosExportados'!$A:$A,"X")+R76)/X76)*$D76,"")</f>
        <v/>
      </c>
      <c r="F76" s="181" t="str">
        <f>IFERROR(((SUMIFS('2_LN_DadosExportados'!AM:AM,'2_LN_DadosExportados'!$V:$V,$C76,'2_LN_DadosExportados'!$A:$A,"X")+S76)/Y76)*$D76,"")</f>
        <v/>
      </c>
      <c r="G76" s="181" t="str">
        <f>IFERROR(((SUMIFS('2_LN_DadosExportados'!AN:AN,'2_LN_DadosExportados'!$V:$V,$C76,'2_LN_DadosExportados'!$A:$A,"X")+T76)/Z76)*$D76,"")</f>
        <v/>
      </c>
      <c r="H76" s="181" t="str">
        <f>IFERROR(((SUMIFS('2_LN_DadosExportados'!AO:AO,'2_LN_DadosExportados'!$V:$V,$C76,'2_LN_DadosExportados'!$A:$A,"X")+U76)/AA76)*$D76,"")</f>
        <v/>
      </c>
      <c r="I76" s="181" t="str">
        <f>IFERROR(((SUMIFS('2_LN_DadosExportados'!AP:AP,'2_LN_DadosExportados'!$V:$V,$C76,'2_LN_DadosExportados'!$A:$A,"X")+V76)/AB76)*$D76,"")</f>
        <v/>
      </c>
      <c r="J76" s="181" t="str">
        <f>IFERROR(((SUMIFS('2_LN_DadosExportados'!AQ:AQ,'2_LN_DadosExportados'!$V:$V,$C76,'2_LN_DadosExportados'!$A:$A,"X")+W76)/AC76)*$D76,"")</f>
        <v/>
      </c>
      <c r="K76" s="179" t="str">
        <f t="shared" si="41"/>
        <v/>
      </c>
      <c r="L76" s="179" t="str">
        <f t="shared" si="42"/>
        <v/>
      </c>
      <c r="M76" s="179" t="str">
        <f t="shared" si="43"/>
        <v/>
      </c>
      <c r="N76" s="179" t="str">
        <f t="shared" si="44"/>
        <v/>
      </c>
      <c r="O76" s="179" t="str">
        <f t="shared" si="45"/>
        <v/>
      </c>
      <c r="P76" s="179" t="str">
        <f t="shared" si="46"/>
        <v/>
      </c>
      <c r="Q76" s="162">
        <v>0</v>
      </c>
      <c r="R76" s="163">
        <v>0</v>
      </c>
      <c r="S76" s="163">
        <v>0</v>
      </c>
      <c r="T76" s="163">
        <v>0</v>
      </c>
      <c r="U76" s="163">
        <v>0</v>
      </c>
      <c r="V76" s="163">
        <v>0</v>
      </c>
      <c r="W76" s="163">
        <v>0</v>
      </c>
      <c r="X76" s="164">
        <f t="shared" si="48"/>
        <v>0</v>
      </c>
      <c r="Y76" s="164">
        <f t="shared" si="49"/>
        <v>0</v>
      </c>
      <c r="Z76" s="164">
        <f t="shared" si="50"/>
        <v>0</v>
      </c>
      <c r="AA76" s="164">
        <f t="shared" si="51"/>
        <v>0</v>
      </c>
      <c r="AB76" s="164">
        <f t="shared" si="52"/>
        <v>0</v>
      </c>
      <c r="AC76" s="164">
        <f t="shared" si="53"/>
        <v>0</v>
      </c>
      <c r="AD76" s="165">
        <v>0</v>
      </c>
      <c r="AE76" s="165">
        <v>0</v>
      </c>
      <c r="AF76" s="165">
        <v>0</v>
      </c>
      <c r="AG76" s="165">
        <v>0</v>
      </c>
      <c r="AH76" s="165">
        <v>0</v>
      </c>
      <c r="AI76" s="165">
        <v>0</v>
      </c>
      <c r="AJ76" s="166">
        <v>0</v>
      </c>
      <c r="AK76" s="166">
        <v>0</v>
      </c>
      <c r="AL76" s="166">
        <v>0</v>
      </c>
      <c r="AM76" s="166">
        <v>0</v>
      </c>
      <c r="AN76" s="166">
        <v>0</v>
      </c>
      <c r="AO76" s="166">
        <v>0</v>
      </c>
      <c r="AP76" s="2" t="str">
        <f>IFERROR(VLOOKUP(C76,'2_LN_DadosExportados'!V:V,1,FALSE),"")</f>
        <v/>
      </c>
      <c r="AQ76" t="str" cm="1">
        <f t="array" ref="AQ76">IF(AND(ISERR(FIND("sim",INDEX('existencia de wc'!K$2:K$193,MATCH('3_Industrial_Plan_Idash'!C76,'existencia de wc'!B$2:B$192,0))))=FALSE,SUMPRODUCT(('2_LN_DadosExportados'!V$2:V$314='3_Industrial_Plan_Idash'!C76)*('2_LN_DadosExportados'!A$2:A$314="X"))&gt;0), "MOSTRAR","")</f>
        <v/>
      </c>
    </row>
    <row r="77" spans="1:43" ht="15.75" hidden="1" thickBot="1" x14ac:dyDescent="0.3">
      <c r="A77" s="153" t="str">
        <f t="shared" si="47"/>
        <v>INVEST</v>
      </c>
      <c r="B77" s="161" t="s">
        <v>270</v>
      </c>
      <c r="C77" s="161" t="s">
        <v>270</v>
      </c>
      <c r="D77" s="186">
        <v>0</v>
      </c>
      <c r="E77" s="181" t="str">
        <f>IFERROR(((SUMIFS('2_LN_DadosExportados'!AL:AL,'2_LN_DadosExportados'!$V:$V,$C77,'2_LN_DadosExportados'!$A:$A,"X")+R77)/X77)*$D77,"")</f>
        <v/>
      </c>
      <c r="F77" s="181" t="str">
        <f>IFERROR(((SUMIFS('2_LN_DadosExportados'!AM:AM,'2_LN_DadosExportados'!$V:$V,$C77,'2_LN_DadosExportados'!$A:$A,"X")+S77)/Y77)*$D77,"")</f>
        <v/>
      </c>
      <c r="G77" s="181" t="str">
        <f>IFERROR(((SUMIFS('2_LN_DadosExportados'!AN:AN,'2_LN_DadosExportados'!$V:$V,$C77,'2_LN_DadosExportados'!$A:$A,"X")+T77)/Z77)*$D77,"")</f>
        <v/>
      </c>
      <c r="H77" s="181" t="str">
        <f>IFERROR(((SUMIFS('2_LN_DadosExportados'!AO:AO,'2_LN_DadosExportados'!$V:$V,$C77,'2_LN_DadosExportados'!$A:$A,"X")+U77)/AA77)*$D77,"")</f>
        <v/>
      </c>
      <c r="I77" s="181" t="str">
        <f>IFERROR(((SUMIFS('2_LN_DadosExportados'!AP:AP,'2_LN_DadosExportados'!$V:$V,$C77,'2_LN_DadosExportados'!$A:$A,"X")+V77)/AB77)*$D77,"")</f>
        <v/>
      </c>
      <c r="J77" s="181" t="str">
        <f>IFERROR(((SUMIFS('2_LN_DadosExportados'!AQ:AQ,'2_LN_DadosExportados'!$V:$V,$C77,'2_LN_DadosExportados'!$A:$A,"X")+W77)/AC77)*$D77,"")</f>
        <v/>
      </c>
      <c r="K77" s="179" t="str">
        <f t="shared" si="41"/>
        <v/>
      </c>
      <c r="L77" s="179" t="str">
        <f t="shared" si="42"/>
        <v/>
      </c>
      <c r="M77" s="179" t="str">
        <f t="shared" si="43"/>
        <v/>
      </c>
      <c r="N77" s="179" t="str">
        <f t="shared" si="44"/>
        <v/>
      </c>
      <c r="O77" s="179" t="str">
        <f t="shared" si="45"/>
        <v/>
      </c>
      <c r="P77" s="179" t="str">
        <f t="shared" si="46"/>
        <v/>
      </c>
      <c r="Q77" s="162">
        <v>0</v>
      </c>
      <c r="R77" s="163">
        <v>0</v>
      </c>
      <c r="S77" s="163">
        <v>0</v>
      </c>
      <c r="T77" s="163">
        <v>0</v>
      </c>
      <c r="U77" s="163">
        <v>0</v>
      </c>
      <c r="V77" s="163">
        <v>0</v>
      </c>
      <c r="W77" s="163">
        <v>0</v>
      </c>
      <c r="X77" s="164">
        <f t="shared" si="48"/>
        <v>0</v>
      </c>
      <c r="Y77" s="164">
        <f t="shared" si="49"/>
        <v>0</v>
      </c>
      <c r="Z77" s="164">
        <f t="shared" si="50"/>
        <v>0</v>
      </c>
      <c r="AA77" s="164">
        <f t="shared" si="51"/>
        <v>0</v>
      </c>
      <c r="AB77" s="164">
        <f t="shared" si="52"/>
        <v>0</v>
      </c>
      <c r="AC77" s="164">
        <f t="shared" si="53"/>
        <v>0</v>
      </c>
      <c r="AD77" s="165">
        <v>0</v>
      </c>
      <c r="AE77" s="165">
        <v>0</v>
      </c>
      <c r="AF77" s="165">
        <v>0</v>
      </c>
      <c r="AG77" s="165">
        <v>0</v>
      </c>
      <c r="AH77" s="165">
        <v>0</v>
      </c>
      <c r="AI77" s="165">
        <v>0</v>
      </c>
      <c r="AJ77" s="166">
        <v>5085629</v>
      </c>
      <c r="AK77" s="166">
        <v>1932059</v>
      </c>
      <c r="AL77" s="166">
        <v>1824639</v>
      </c>
      <c r="AM77" s="166">
        <v>1717220</v>
      </c>
      <c r="AN77" s="166">
        <v>1609800</v>
      </c>
      <c r="AO77" s="166">
        <v>1556090</v>
      </c>
      <c r="AP77" s="2" t="str">
        <f>IFERROR(VLOOKUP(C77,'2_LN_DadosExportados'!V:V,1,FALSE),"")</f>
        <v/>
      </c>
      <c r="AQ77" t="str" cm="1">
        <f t="array" ref="AQ77">IF(AND(ISERR(FIND("sim",INDEX('existencia de wc'!K$2:K$193,MATCH('3_Industrial_Plan_Idash'!C77,'existencia de wc'!B$2:B$192,0))))=FALSE,SUMPRODUCT(('2_LN_DadosExportados'!V$2:V$314='3_Industrial_Plan_Idash'!C77)*('2_LN_DadosExportados'!A$2:A$314="X"))&gt;0), "MOSTRAR","")</f>
        <v/>
      </c>
    </row>
  </sheetData>
  <autoFilter ref="A2:AQ77" xr:uid="{791ED043-E009-48C3-B9D2-8D2F07012DED}">
    <filterColumn colId="41">
      <customFilters>
        <customFilter operator="notEqual" val=" "/>
      </customFilters>
    </filterColumn>
    <filterColumn colId="42">
      <customFilters>
        <customFilter operator="notEqual" val=" "/>
      </customFilters>
    </filterColumn>
  </autoFilter>
  <mergeCells count="7">
    <mergeCell ref="AJ1:AO1"/>
    <mergeCell ref="F1:J1"/>
    <mergeCell ref="B1:C1"/>
    <mergeCell ref="K1:P1"/>
    <mergeCell ref="R1:W1"/>
    <mergeCell ref="X1:AC1"/>
    <mergeCell ref="AD1:AI1"/>
  </mergeCells>
  <conditionalFormatting sqref="A4:A77">
    <cfRule type="cellIs" dxfId="1" priority="1" operator="equal">
      <formula>"INVEST"</formula>
    </cfRule>
    <cfRule type="cellIs" dxfId="0" priority="2" operator="equal">
      <formula>"OK"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68E6-A1FE-4974-A5D6-2A0712C3EFA5}">
  <dimension ref="A1:K193"/>
  <sheetViews>
    <sheetView workbookViewId="0">
      <selection activeCell="K17" sqref="K17"/>
    </sheetView>
  </sheetViews>
  <sheetFormatPr defaultRowHeight="15" x14ac:dyDescent="0.25"/>
  <cols>
    <col min="1" max="1" width="11.28515625" bestFit="1" customWidth="1"/>
    <col min="2" max="2" width="32.140625" bestFit="1" customWidth="1"/>
    <col min="3" max="3" width="26.28515625" bestFit="1" customWidth="1"/>
    <col min="4" max="4" width="16.5703125" bestFit="1" customWidth="1"/>
    <col min="5" max="5" width="12.7109375" bestFit="1" customWidth="1"/>
    <col min="6" max="6" width="29.7109375" bestFit="1" customWidth="1"/>
    <col min="7" max="7" width="19.42578125" bestFit="1" customWidth="1"/>
    <col min="8" max="8" width="28.5703125" bestFit="1" customWidth="1"/>
    <col min="9" max="9" width="40.85546875" bestFit="1" customWidth="1"/>
  </cols>
  <sheetData>
    <row r="1" spans="1:11" x14ac:dyDescent="0.25">
      <c r="A1" t="s">
        <v>23</v>
      </c>
      <c r="B1" t="s">
        <v>13</v>
      </c>
      <c r="C1" t="s">
        <v>823</v>
      </c>
      <c r="D1" t="s">
        <v>824</v>
      </c>
      <c r="E1" t="s">
        <v>825</v>
      </c>
      <c r="F1" t="s">
        <v>826</v>
      </c>
      <c r="G1" t="s">
        <v>827</v>
      </c>
      <c r="H1" t="s">
        <v>13</v>
      </c>
      <c r="I1" t="s">
        <v>828</v>
      </c>
      <c r="J1" t="s">
        <v>13</v>
      </c>
    </row>
    <row r="2" spans="1:11" x14ac:dyDescent="0.25">
      <c r="A2">
        <v>150</v>
      </c>
      <c r="B2" t="s">
        <v>695</v>
      </c>
      <c r="C2" t="s">
        <v>829</v>
      </c>
      <c r="D2">
        <v>310</v>
      </c>
      <c r="E2" t="s">
        <v>859</v>
      </c>
      <c r="F2" t="s">
        <v>41</v>
      </c>
      <c r="G2">
        <v>604</v>
      </c>
      <c r="H2" t="s">
        <v>893</v>
      </c>
      <c r="K2" t="str">
        <f>IF(COUNTIF('2_LN_DadosExportados'!$V:$V,'existencia de wc'!B2)&gt;0,"sim","não")</f>
        <v>não</v>
      </c>
    </row>
    <row r="3" spans="1:11" x14ac:dyDescent="0.25">
      <c r="A3">
        <v>151</v>
      </c>
      <c r="B3" t="s">
        <v>894</v>
      </c>
      <c r="C3" t="s">
        <v>829</v>
      </c>
      <c r="D3">
        <v>310</v>
      </c>
      <c r="E3" t="s">
        <v>859</v>
      </c>
      <c r="F3" t="s">
        <v>41</v>
      </c>
      <c r="G3" t="s">
        <v>839</v>
      </c>
      <c r="H3" t="s">
        <v>840</v>
      </c>
      <c r="K3" t="str">
        <f>IF(COUNTIF('2_LN_DadosExportados'!$V:$V,'existencia de wc'!B3)&gt;0,"sim","não")</f>
        <v>não</v>
      </c>
    </row>
    <row r="4" spans="1:11" x14ac:dyDescent="0.25">
      <c r="A4">
        <v>160</v>
      </c>
      <c r="B4" t="s">
        <v>697</v>
      </c>
      <c r="C4" t="s">
        <v>829</v>
      </c>
      <c r="D4">
        <v>310</v>
      </c>
      <c r="E4" t="s">
        <v>859</v>
      </c>
      <c r="F4" t="s">
        <v>41</v>
      </c>
      <c r="G4">
        <v>602</v>
      </c>
      <c r="H4" t="s">
        <v>895</v>
      </c>
      <c r="K4" t="str">
        <f>IF(COUNTIF('2_LN_DadosExportados'!$V:$V,'existencia de wc'!B4)&gt;0,"sim","não")</f>
        <v>não</v>
      </c>
    </row>
    <row r="5" spans="1:11" x14ac:dyDescent="0.25">
      <c r="A5">
        <v>201</v>
      </c>
      <c r="B5" t="s">
        <v>699</v>
      </c>
      <c r="C5" t="s">
        <v>829</v>
      </c>
      <c r="D5">
        <v>310</v>
      </c>
      <c r="E5" t="s">
        <v>859</v>
      </c>
      <c r="F5" t="s">
        <v>41</v>
      </c>
      <c r="G5">
        <v>600</v>
      </c>
      <c r="H5" t="s">
        <v>896</v>
      </c>
      <c r="K5" t="str">
        <f>IF(COUNTIF('2_LN_DadosExportados'!$V:$V,'existencia de wc'!B5)&gt;0,"sim","não")</f>
        <v>não</v>
      </c>
    </row>
    <row r="6" spans="1:11" x14ac:dyDescent="0.25">
      <c r="A6">
        <v>300</v>
      </c>
      <c r="B6" t="s">
        <v>701</v>
      </c>
      <c r="C6" t="s">
        <v>829</v>
      </c>
      <c r="D6">
        <v>310</v>
      </c>
      <c r="E6" t="s">
        <v>859</v>
      </c>
      <c r="F6" t="s">
        <v>41</v>
      </c>
      <c r="G6">
        <v>601</v>
      </c>
      <c r="H6" t="s">
        <v>897</v>
      </c>
      <c r="K6" t="str">
        <f>IF(COUNTIF('2_LN_DadosExportados'!$V:$V,'existencia de wc'!B6)&gt;0,"sim","não")</f>
        <v>não</v>
      </c>
    </row>
    <row r="7" spans="1:11" x14ac:dyDescent="0.25">
      <c r="A7">
        <v>310</v>
      </c>
      <c r="B7" t="s">
        <v>703</v>
      </c>
      <c r="C7" t="s">
        <v>829</v>
      </c>
      <c r="D7">
        <v>310</v>
      </c>
      <c r="E7" t="s">
        <v>859</v>
      </c>
      <c r="F7" t="s">
        <v>41</v>
      </c>
      <c r="G7">
        <v>601</v>
      </c>
      <c r="H7" t="s">
        <v>897</v>
      </c>
      <c r="K7" t="str">
        <f>IF(COUNTIF('2_LN_DadosExportados'!$V:$V,'existencia de wc'!B7)&gt;0,"sim","não")</f>
        <v>não</v>
      </c>
    </row>
    <row r="8" spans="1:11" x14ac:dyDescent="0.25">
      <c r="A8">
        <v>311</v>
      </c>
      <c r="B8" t="s">
        <v>705</v>
      </c>
      <c r="C8" t="s">
        <v>829</v>
      </c>
      <c r="D8">
        <v>310</v>
      </c>
      <c r="E8" t="s">
        <v>859</v>
      </c>
      <c r="F8" t="s">
        <v>41</v>
      </c>
      <c r="G8">
        <v>601</v>
      </c>
      <c r="H8" t="s">
        <v>897</v>
      </c>
      <c r="K8" t="str">
        <f>IF(COUNTIF('2_LN_DadosExportados'!$V:$V,'existencia de wc'!B8)&gt;0,"sim","não")</f>
        <v>não</v>
      </c>
    </row>
    <row r="9" spans="1:11" x14ac:dyDescent="0.25">
      <c r="A9">
        <v>312</v>
      </c>
      <c r="B9" t="s">
        <v>898</v>
      </c>
      <c r="C9" t="s">
        <v>829</v>
      </c>
      <c r="D9">
        <v>310</v>
      </c>
      <c r="E9" t="s">
        <v>859</v>
      </c>
      <c r="F9" t="s">
        <v>41</v>
      </c>
      <c r="G9" t="s">
        <v>839</v>
      </c>
      <c r="H9" t="s">
        <v>840</v>
      </c>
      <c r="K9" t="str">
        <f>IF(COUNTIF('2_LN_DadosExportados'!$V:$V,'existencia de wc'!B9)&gt;0,"sim","não")</f>
        <v>não</v>
      </c>
    </row>
    <row r="10" spans="1:11" x14ac:dyDescent="0.25">
      <c r="A10">
        <v>313</v>
      </c>
      <c r="B10" t="s">
        <v>707</v>
      </c>
      <c r="C10" t="s">
        <v>829</v>
      </c>
      <c r="D10">
        <v>310</v>
      </c>
      <c r="E10" t="s">
        <v>859</v>
      </c>
      <c r="F10" t="s">
        <v>41</v>
      </c>
      <c r="G10">
        <v>601</v>
      </c>
      <c r="H10" t="s">
        <v>897</v>
      </c>
      <c r="K10" t="str">
        <f>IF(COUNTIF('2_LN_DadosExportados'!$V:$V,'existencia de wc'!B10)&gt;0,"sim","não")</f>
        <v>não</v>
      </c>
    </row>
    <row r="11" spans="1:11" x14ac:dyDescent="0.25">
      <c r="A11">
        <v>314</v>
      </c>
      <c r="B11" t="s">
        <v>709</v>
      </c>
      <c r="C11" t="s">
        <v>829</v>
      </c>
      <c r="D11">
        <v>310</v>
      </c>
      <c r="E11" t="s">
        <v>859</v>
      </c>
      <c r="F11" t="s">
        <v>41</v>
      </c>
      <c r="G11">
        <v>601</v>
      </c>
      <c r="H11" t="s">
        <v>897</v>
      </c>
      <c r="K11" t="str">
        <f>IF(COUNTIF('2_LN_DadosExportados'!$V:$V,'existencia de wc'!B11)&gt;0,"sim","não")</f>
        <v>não</v>
      </c>
    </row>
    <row r="12" spans="1:11" x14ac:dyDescent="0.25">
      <c r="A12">
        <v>315</v>
      </c>
      <c r="B12" t="s">
        <v>711</v>
      </c>
      <c r="C12" t="s">
        <v>829</v>
      </c>
      <c r="D12">
        <v>310</v>
      </c>
      <c r="E12" t="s">
        <v>859</v>
      </c>
      <c r="F12" t="s">
        <v>41</v>
      </c>
      <c r="G12">
        <v>601</v>
      </c>
      <c r="H12" t="s">
        <v>897</v>
      </c>
      <c r="K12" t="str">
        <f>IF(COUNTIF('2_LN_DadosExportados'!$V:$V,'existencia de wc'!B12)&gt;0,"sim","não")</f>
        <v>não</v>
      </c>
    </row>
    <row r="13" spans="1:11" x14ac:dyDescent="0.25">
      <c r="A13">
        <v>350</v>
      </c>
      <c r="B13" t="s">
        <v>713</v>
      </c>
      <c r="C13" t="s">
        <v>829</v>
      </c>
      <c r="D13">
        <v>310</v>
      </c>
      <c r="E13" t="s">
        <v>859</v>
      </c>
      <c r="F13" t="s">
        <v>41</v>
      </c>
      <c r="G13">
        <v>600</v>
      </c>
      <c r="H13" t="s">
        <v>896</v>
      </c>
      <c r="K13" t="str">
        <f>IF(COUNTIF('2_LN_DadosExportados'!$V:$V,'existencia de wc'!B13)&gt;0,"sim","não")</f>
        <v>não</v>
      </c>
    </row>
    <row r="14" spans="1:11" x14ac:dyDescent="0.25">
      <c r="A14">
        <v>380</v>
      </c>
      <c r="B14" t="s">
        <v>715</v>
      </c>
      <c r="C14" t="s">
        <v>829</v>
      </c>
      <c r="D14">
        <v>310</v>
      </c>
      <c r="E14" t="s">
        <v>859</v>
      </c>
      <c r="F14" t="s">
        <v>41</v>
      </c>
      <c r="G14">
        <v>600</v>
      </c>
      <c r="H14" t="s">
        <v>896</v>
      </c>
      <c r="K14" t="str">
        <f>IF(COUNTIF('2_LN_DadosExportados'!$V:$V,'existencia de wc'!B14)&gt;0,"sim","não")</f>
        <v>não</v>
      </c>
    </row>
    <row r="15" spans="1:11" x14ac:dyDescent="0.25">
      <c r="A15">
        <v>600</v>
      </c>
      <c r="B15" t="s">
        <v>717</v>
      </c>
      <c r="C15" t="s">
        <v>829</v>
      </c>
      <c r="D15">
        <v>310</v>
      </c>
      <c r="E15" t="s">
        <v>859</v>
      </c>
      <c r="F15" t="s">
        <v>41</v>
      </c>
      <c r="G15">
        <v>603</v>
      </c>
      <c r="H15" t="s">
        <v>899</v>
      </c>
      <c r="K15" t="str">
        <f>IF(COUNTIF('2_LN_DadosExportados'!$V:$V,'existencia de wc'!B15)&gt;0,"sim","não")</f>
        <v>não</v>
      </c>
    </row>
    <row r="16" spans="1:11" x14ac:dyDescent="0.25">
      <c r="A16">
        <v>601</v>
      </c>
      <c r="B16" t="s">
        <v>719</v>
      </c>
      <c r="C16" t="s">
        <v>829</v>
      </c>
      <c r="D16">
        <v>310</v>
      </c>
      <c r="E16" t="s">
        <v>859</v>
      </c>
      <c r="F16" t="s">
        <v>41</v>
      </c>
      <c r="G16">
        <v>603</v>
      </c>
      <c r="H16" t="s">
        <v>899</v>
      </c>
      <c r="K16" t="str">
        <f>IF(COUNTIF('2_LN_DadosExportados'!$V:$V,'existencia de wc'!B16)&gt;0,"sim","não")</f>
        <v>não</v>
      </c>
    </row>
    <row r="17" spans="1:11" x14ac:dyDescent="0.25">
      <c r="A17">
        <v>610</v>
      </c>
      <c r="B17" t="s">
        <v>721</v>
      </c>
      <c r="C17" t="s">
        <v>829</v>
      </c>
      <c r="D17">
        <v>310</v>
      </c>
      <c r="E17" t="s">
        <v>859</v>
      </c>
      <c r="F17" t="s">
        <v>41</v>
      </c>
      <c r="G17">
        <v>603</v>
      </c>
      <c r="H17" t="s">
        <v>899</v>
      </c>
      <c r="K17" t="str">
        <f>IF(COUNTIF('2_LN_DadosExportados'!$V:$V,'existencia de wc'!B17)&gt;0,"sim","não")</f>
        <v>não</v>
      </c>
    </row>
    <row r="18" spans="1:11" x14ac:dyDescent="0.25">
      <c r="A18">
        <v>611</v>
      </c>
      <c r="B18" t="s">
        <v>723</v>
      </c>
      <c r="C18" t="s">
        <v>829</v>
      </c>
      <c r="D18">
        <v>310</v>
      </c>
      <c r="E18" t="s">
        <v>859</v>
      </c>
      <c r="F18" t="s">
        <v>41</v>
      </c>
      <c r="G18">
        <v>603</v>
      </c>
      <c r="H18" t="s">
        <v>899</v>
      </c>
      <c r="K18" t="str">
        <f>IF(COUNTIF('2_LN_DadosExportados'!$V:$V,'existencia de wc'!B18)&gt;0,"sim","não")</f>
        <v>não</v>
      </c>
    </row>
    <row r="19" spans="1:11" x14ac:dyDescent="0.25">
      <c r="A19">
        <v>651</v>
      </c>
      <c r="B19" t="s">
        <v>725</v>
      </c>
      <c r="C19" t="s">
        <v>829</v>
      </c>
      <c r="D19">
        <v>310</v>
      </c>
      <c r="E19" t="s">
        <v>859</v>
      </c>
      <c r="F19" t="s">
        <v>41</v>
      </c>
      <c r="G19">
        <v>600</v>
      </c>
      <c r="H19" t="s">
        <v>896</v>
      </c>
      <c r="K19" t="str">
        <f>IF(COUNTIF('2_LN_DadosExportados'!$V:$V,'existencia de wc'!B19)&gt;0,"sim","não")</f>
        <v>não</v>
      </c>
    </row>
    <row r="20" spans="1:11" x14ac:dyDescent="0.25">
      <c r="A20">
        <v>703</v>
      </c>
      <c r="B20" t="s">
        <v>727</v>
      </c>
      <c r="C20" t="s">
        <v>829</v>
      </c>
      <c r="D20">
        <v>310</v>
      </c>
      <c r="E20" t="s">
        <v>859</v>
      </c>
      <c r="F20" t="s">
        <v>41</v>
      </c>
      <c r="G20">
        <v>600</v>
      </c>
      <c r="H20" t="s">
        <v>896</v>
      </c>
      <c r="K20" t="str">
        <f>IF(COUNTIF('2_LN_DadosExportados'!$V:$V,'existencia de wc'!B20)&gt;0,"sim","não")</f>
        <v>não</v>
      </c>
    </row>
    <row r="21" spans="1:11" x14ac:dyDescent="0.25">
      <c r="A21">
        <v>2100</v>
      </c>
      <c r="B21" t="s">
        <v>900</v>
      </c>
      <c r="C21" t="s">
        <v>829</v>
      </c>
      <c r="D21">
        <v>310</v>
      </c>
      <c r="E21" t="s">
        <v>874</v>
      </c>
      <c r="F21" t="s">
        <v>42</v>
      </c>
      <c r="G21" t="s">
        <v>839</v>
      </c>
      <c r="H21" t="s">
        <v>840</v>
      </c>
      <c r="K21" t="str">
        <f>IF(COUNTIF('2_LN_DadosExportados'!$V:$V,'existencia de wc'!B21)&gt;0,"sim","não")</f>
        <v>não</v>
      </c>
    </row>
    <row r="22" spans="1:11" x14ac:dyDescent="0.25">
      <c r="A22">
        <v>2102</v>
      </c>
      <c r="B22" t="s">
        <v>901</v>
      </c>
      <c r="C22" t="s">
        <v>829</v>
      </c>
      <c r="D22">
        <v>310</v>
      </c>
      <c r="E22" t="s">
        <v>874</v>
      </c>
      <c r="F22" t="s">
        <v>42</v>
      </c>
      <c r="G22" t="s">
        <v>839</v>
      </c>
      <c r="H22" t="s">
        <v>840</v>
      </c>
      <c r="K22" t="str">
        <f>IF(COUNTIF('2_LN_DadosExportados'!$V:$V,'existencia de wc'!B22)&gt;0,"sim","não")</f>
        <v>não</v>
      </c>
    </row>
    <row r="23" spans="1:11" x14ac:dyDescent="0.25">
      <c r="A23">
        <v>2105</v>
      </c>
      <c r="B23" t="s">
        <v>902</v>
      </c>
      <c r="C23" t="s">
        <v>829</v>
      </c>
      <c r="D23">
        <v>310</v>
      </c>
      <c r="E23" t="s">
        <v>874</v>
      </c>
      <c r="F23" t="s">
        <v>42</v>
      </c>
      <c r="G23" t="s">
        <v>839</v>
      </c>
      <c r="H23" t="s">
        <v>840</v>
      </c>
      <c r="K23" t="str">
        <f>IF(COUNTIF('2_LN_DadosExportados'!$V:$V,'existencia de wc'!B23)&gt;0,"sim","não")</f>
        <v>não</v>
      </c>
    </row>
    <row r="24" spans="1:11" x14ac:dyDescent="0.25">
      <c r="A24">
        <v>2110</v>
      </c>
      <c r="B24" t="s">
        <v>729</v>
      </c>
      <c r="C24" t="s">
        <v>829</v>
      </c>
      <c r="D24">
        <v>310</v>
      </c>
      <c r="E24" t="s">
        <v>874</v>
      </c>
      <c r="F24" t="s">
        <v>42</v>
      </c>
      <c r="G24">
        <v>324</v>
      </c>
      <c r="H24" t="s">
        <v>903</v>
      </c>
      <c r="K24" t="str">
        <f>IF(COUNTIF('2_LN_DadosExportados'!$V:$V,'existencia de wc'!B24)&gt;0,"sim","não")</f>
        <v>não</v>
      </c>
    </row>
    <row r="25" spans="1:11" x14ac:dyDescent="0.25">
      <c r="A25">
        <v>2120</v>
      </c>
      <c r="B25" t="s">
        <v>904</v>
      </c>
      <c r="C25" t="s">
        <v>829</v>
      </c>
      <c r="D25">
        <v>310</v>
      </c>
      <c r="E25" t="s">
        <v>874</v>
      </c>
      <c r="F25" t="s">
        <v>42</v>
      </c>
      <c r="G25" t="s">
        <v>839</v>
      </c>
      <c r="H25" t="s">
        <v>840</v>
      </c>
      <c r="K25" t="str">
        <f>IF(COUNTIF('2_LN_DadosExportados'!$V:$V,'existencia de wc'!B25)&gt;0,"sim","não")</f>
        <v>não</v>
      </c>
    </row>
    <row r="26" spans="1:11" x14ac:dyDescent="0.25">
      <c r="A26">
        <v>2121</v>
      </c>
      <c r="B26" t="s">
        <v>905</v>
      </c>
      <c r="C26" t="s">
        <v>829</v>
      </c>
      <c r="D26">
        <v>310</v>
      </c>
      <c r="E26" t="s">
        <v>874</v>
      </c>
      <c r="F26" t="s">
        <v>42</v>
      </c>
      <c r="G26" t="s">
        <v>839</v>
      </c>
      <c r="H26" t="s">
        <v>840</v>
      </c>
      <c r="K26" t="str">
        <f>IF(COUNTIF('2_LN_DadosExportados'!$V:$V,'existencia de wc'!B26)&gt;0,"sim","não")</f>
        <v>não</v>
      </c>
    </row>
    <row r="27" spans="1:11" x14ac:dyDescent="0.25">
      <c r="A27">
        <v>2122</v>
      </c>
      <c r="B27" t="s">
        <v>731</v>
      </c>
      <c r="C27" t="s">
        <v>829</v>
      </c>
      <c r="D27">
        <v>310</v>
      </c>
      <c r="E27" t="s">
        <v>874</v>
      </c>
      <c r="F27" t="s">
        <v>42</v>
      </c>
      <c r="G27">
        <v>320</v>
      </c>
      <c r="H27" t="s">
        <v>906</v>
      </c>
      <c r="K27" t="str">
        <f>IF(COUNTIF('2_LN_DadosExportados'!$V:$V,'existencia de wc'!B27)&gt;0,"sim","não")</f>
        <v>não</v>
      </c>
    </row>
    <row r="28" spans="1:11" x14ac:dyDescent="0.25">
      <c r="A28">
        <v>2123</v>
      </c>
      <c r="B28" t="s">
        <v>907</v>
      </c>
      <c r="C28" t="s">
        <v>829</v>
      </c>
      <c r="D28">
        <v>310</v>
      </c>
      <c r="E28" t="s">
        <v>874</v>
      </c>
      <c r="F28" t="s">
        <v>42</v>
      </c>
      <c r="G28" t="s">
        <v>839</v>
      </c>
      <c r="H28" t="s">
        <v>840</v>
      </c>
      <c r="K28" t="str">
        <f>IF(COUNTIF('2_LN_DadosExportados'!$V:$V,'existencia de wc'!B28)&gt;0,"sim","não")</f>
        <v>não</v>
      </c>
    </row>
    <row r="29" spans="1:11" x14ac:dyDescent="0.25">
      <c r="A29">
        <v>2130</v>
      </c>
      <c r="B29" t="s">
        <v>908</v>
      </c>
      <c r="C29" t="s">
        <v>829</v>
      </c>
      <c r="D29">
        <v>310</v>
      </c>
      <c r="E29" t="s">
        <v>874</v>
      </c>
      <c r="F29" t="s">
        <v>42</v>
      </c>
      <c r="G29" t="s">
        <v>839</v>
      </c>
      <c r="H29" t="s">
        <v>840</v>
      </c>
      <c r="K29" t="str">
        <f>IF(COUNTIF('2_LN_DadosExportados'!$V:$V,'existencia de wc'!B29)&gt;0,"sim","não")</f>
        <v>não</v>
      </c>
    </row>
    <row r="30" spans="1:11" x14ac:dyDescent="0.25">
      <c r="A30">
        <v>2132</v>
      </c>
      <c r="B30" t="s">
        <v>909</v>
      </c>
      <c r="C30" t="s">
        <v>829</v>
      </c>
      <c r="D30">
        <v>310</v>
      </c>
      <c r="E30" t="s">
        <v>874</v>
      </c>
      <c r="F30" t="s">
        <v>42</v>
      </c>
      <c r="G30" t="s">
        <v>839</v>
      </c>
      <c r="H30" t="s">
        <v>840</v>
      </c>
      <c r="K30" t="str">
        <f>IF(COUNTIF('2_LN_DadosExportados'!$V:$V,'existencia de wc'!B30)&gt;0,"sim","não")</f>
        <v>não</v>
      </c>
    </row>
    <row r="31" spans="1:11" x14ac:dyDescent="0.25">
      <c r="A31">
        <v>2140</v>
      </c>
      <c r="B31" t="s">
        <v>733</v>
      </c>
      <c r="C31" t="s">
        <v>829</v>
      </c>
      <c r="D31">
        <v>310</v>
      </c>
      <c r="E31" t="s">
        <v>874</v>
      </c>
      <c r="F31" t="s">
        <v>42</v>
      </c>
      <c r="G31">
        <v>321</v>
      </c>
      <c r="H31" t="s">
        <v>910</v>
      </c>
      <c r="K31" t="str">
        <f>IF(COUNTIF('2_LN_DadosExportados'!$V:$V,'existencia de wc'!B31)&gt;0,"sim","não")</f>
        <v>não</v>
      </c>
    </row>
    <row r="32" spans="1:11" x14ac:dyDescent="0.25">
      <c r="A32">
        <v>2141</v>
      </c>
      <c r="B32" t="s">
        <v>735</v>
      </c>
      <c r="C32" t="s">
        <v>829</v>
      </c>
      <c r="D32">
        <v>310</v>
      </c>
      <c r="E32" t="s">
        <v>874</v>
      </c>
      <c r="F32" t="s">
        <v>42</v>
      </c>
      <c r="G32">
        <v>321</v>
      </c>
      <c r="H32" t="s">
        <v>910</v>
      </c>
      <c r="K32" t="str">
        <f>IF(COUNTIF('2_LN_DadosExportados'!$V:$V,'existencia de wc'!B32)&gt;0,"sim","não")</f>
        <v>não</v>
      </c>
    </row>
    <row r="33" spans="1:11" x14ac:dyDescent="0.25">
      <c r="A33">
        <v>2150</v>
      </c>
      <c r="B33" t="s">
        <v>737</v>
      </c>
      <c r="C33" t="s">
        <v>829</v>
      </c>
      <c r="D33">
        <v>310</v>
      </c>
      <c r="E33" t="s">
        <v>874</v>
      </c>
      <c r="F33" t="s">
        <v>42</v>
      </c>
      <c r="G33">
        <v>318</v>
      </c>
      <c r="H33" t="s">
        <v>911</v>
      </c>
      <c r="K33" t="str">
        <f>IF(COUNTIF('2_LN_DadosExportados'!$V:$V,'existencia de wc'!B33)&gt;0,"sim","não")</f>
        <v>não</v>
      </c>
    </row>
    <row r="34" spans="1:11" x14ac:dyDescent="0.25">
      <c r="A34">
        <v>2151</v>
      </c>
      <c r="B34" t="s">
        <v>739</v>
      </c>
      <c r="C34" t="s">
        <v>829</v>
      </c>
      <c r="D34">
        <v>310</v>
      </c>
      <c r="E34" t="s">
        <v>874</v>
      </c>
      <c r="F34" t="s">
        <v>42</v>
      </c>
      <c r="G34">
        <v>322</v>
      </c>
      <c r="H34" t="s">
        <v>912</v>
      </c>
      <c r="K34" t="str">
        <f>IF(COUNTIF('2_LN_DadosExportados'!$V:$V,'existencia de wc'!B34)&gt;0,"sim","não")</f>
        <v>não</v>
      </c>
    </row>
    <row r="35" spans="1:11" x14ac:dyDescent="0.25">
      <c r="A35">
        <v>2160</v>
      </c>
      <c r="B35" t="s">
        <v>741</v>
      </c>
      <c r="C35" t="s">
        <v>829</v>
      </c>
      <c r="D35">
        <v>310</v>
      </c>
      <c r="E35" t="s">
        <v>874</v>
      </c>
      <c r="F35" t="s">
        <v>42</v>
      </c>
      <c r="G35">
        <v>328</v>
      </c>
      <c r="H35" t="s">
        <v>913</v>
      </c>
      <c r="K35" t="str">
        <f>IF(COUNTIF('2_LN_DadosExportados'!$V:$V,'existencia de wc'!B35)&gt;0,"sim","não")</f>
        <v>não</v>
      </c>
    </row>
    <row r="36" spans="1:11" x14ac:dyDescent="0.25">
      <c r="A36">
        <v>2161</v>
      </c>
      <c r="B36" t="s">
        <v>88</v>
      </c>
      <c r="C36" t="s">
        <v>829</v>
      </c>
      <c r="D36">
        <v>310</v>
      </c>
      <c r="E36" t="s">
        <v>874</v>
      </c>
      <c r="F36" t="s">
        <v>42</v>
      </c>
      <c r="G36">
        <v>329</v>
      </c>
      <c r="H36" t="s">
        <v>914</v>
      </c>
      <c r="K36" t="str">
        <f>IF(COUNTIF('2_LN_DadosExportados'!$V:$V,'existencia de wc'!B36)&gt;0,"sim","não")</f>
        <v>não</v>
      </c>
    </row>
    <row r="37" spans="1:11" x14ac:dyDescent="0.25">
      <c r="A37">
        <v>2170</v>
      </c>
      <c r="B37" t="s">
        <v>744</v>
      </c>
      <c r="C37" t="s">
        <v>829</v>
      </c>
      <c r="D37">
        <v>310</v>
      </c>
      <c r="E37" t="s">
        <v>874</v>
      </c>
      <c r="F37" t="s">
        <v>42</v>
      </c>
      <c r="G37">
        <v>330</v>
      </c>
      <c r="H37" t="s">
        <v>915</v>
      </c>
      <c r="K37" t="str">
        <f>IF(COUNTIF('2_LN_DadosExportados'!$V:$V,'existencia de wc'!B37)&gt;0,"sim","não")</f>
        <v>não</v>
      </c>
    </row>
    <row r="38" spans="1:11" x14ac:dyDescent="0.25">
      <c r="A38">
        <v>2180</v>
      </c>
      <c r="B38" t="s">
        <v>90</v>
      </c>
      <c r="C38" t="s">
        <v>829</v>
      </c>
      <c r="D38">
        <v>310</v>
      </c>
      <c r="E38" t="s">
        <v>874</v>
      </c>
      <c r="F38" t="s">
        <v>42</v>
      </c>
      <c r="G38">
        <v>326</v>
      </c>
      <c r="H38" t="s">
        <v>916</v>
      </c>
      <c r="K38" t="str">
        <f>IF(COUNTIF('2_LN_DadosExportados'!$V:$V,'existencia de wc'!B38)&gt;0,"sim","não")</f>
        <v>sim</v>
      </c>
    </row>
    <row r="39" spans="1:11" x14ac:dyDescent="0.25">
      <c r="A39">
        <v>2181</v>
      </c>
      <c r="B39" t="s">
        <v>917</v>
      </c>
      <c r="C39" t="s">
        <v>829</v>
      </c>
      <c r="D39">
        <v>310</v>
      </c>
      <c r="E39" t="s">
        <v>874</v>
      </c>
      <c r="F39" t="s">
        <v>42</v>
      </c>
      <c r="G39" t="s">
        <v>839</v>
      </c>
      <c r="H39" t="s">
        <v>840</v>
      </c>
      <c r="K39" t="str">
        <f>IF(COUNTIF('2_LN_DadosExportados'!$V:$V,'existencia de wc'!B39)&gt;0,"sim","não")</f>
        <v>não</v>
      </c>
    </row>
    <row r="40" spans="1:11" x14ac:dyDescent="0.25">
      <c r="A40">
        <v>3100</v>
      </c>
      <c r="B40" t="s">
        <v>46</v>
      </c>
      <c r="C40" t="s">
        <v>829</v>
      </c>
      <c r="D40">
        <v>310</v>
      </c>
      <c r="E40" t="s">
        <v>877</v>
      </c>
      <c r="F40" t="s">
        <v>41</v>
      </c>
      <c r="G40">
        <v>327</v>
      </c>
      <c r="H40" t="s">
        <v>918</v>
      </c>
      <c r="K40" t="str">
        <f>IF(COUNTIF('2_LN_DadosExportados'!$V:$V,'existencia de wc'!B40)&gt;0,"sim","não")</f>
        <v>sim</v>
      </c>
    </row>
    <row r="41" spans="1:11" x14ac:dyDescent="0.25">
      <c r="A41">
        <v>3101</v>
      </c>
      <c r="B41" t="s">
        <v>919</v>
      </c>
      <c r="C41" t="s">
        <v>829</v>
      </c>
      <c r="D41">
        <v>310</v>
      </c>
      <c r="E41" t="s">
        <v>877</v>
      </c>
      <c r="F41" t="s">
        <v>41</v>
      </c>
      <c r="G41" t="s">
        <v>839</v>
      </c>
      <c r="H41" t="s">
        <v>840</v>
      </c>
      <c r="K41" t="str">
        <f>IF(COUNTIF('2_LN_DadosExportados'!$V:$V,'existencia de wc'!B41)&gt;0,"sim","não")</f>
        <v>não</v>
      </c>
    </row>
    <row r="42" spans="1:11" x14ac:dyDescent="0.25">
      <c r="A42">
        <v>3102</v>
      </c>
      <c r="B42" t="s">
        <v>79</v>
      </c>
      <c r="C42" t="s">
        <v>829</v>
      </c>
      <c r="D42">
        <v>310</v>
      </c>
      <c r="E42" t="s">
        <v>877</v>
      </c>
      <c r="F42" t="s">
        <v>41</v>
      </c>
      <c r="G42">
        <v>401</v>
      </c>
      <c r="H42" t="s">
        <v>920</v>
      </c>
      <c r="K42" t="str">
        <f>IF(COUNTIF('2_LN_DadosExportados'!$V:$V,'existencia de wc'!B42)&gt;0,"sim","não")</f>
        <v>sim</v>
      </c>
    </row>
    <row r="43" spans="1:11" x14ac:dyDescent="0.25">
      <c r="A43" t="s">
        <v>921</v>
      </c>
      <c r="B43" t="s">
        <v>922</v>
      </c>
      <c r="C43" t="s">
        <v>923</v>
      </c>
      <c r="D43">
        <v>310</v>
      </c>
      <c r="F43" t="s">
        <v>41</v>
      </c>
      <c r="G43">
        <v>7910</v>
      </c>
      <c r="H43" t="s">
        <v>924</v>
      </c>
      <c r="K43" t="str">
        <f>IF(COUNTIF('2_LN_DadosExportados'!$V:$V,'existencia de wc'!B43)&gt;0,"sim","não")</f>
        <v>não</v>
      </c>
    </row>
    <row r="44" spans="1:11" x14ac:dyDescent="0.25">
      <c r="A44" t="s">
        <v>925</v>
      </c>
      <c r="B44" t="s">
        <v>926</v>
      </c>
      <c r="C44" t="s">
        <v>923</v>
      </c>
      <c r="D44">
        <v>310</v>
      </c>
      <c r="F44" t="s">
        <v>41</v>
      </c>
      <c r="G44">
        <v>7910</v>
      </c>
      <c r="H44" t="s">
        <v>924</v>
      </c>
      <c r="K44" t="str">
        <f>IF(COUNTIF('2_LN_DadosExportados'!$V:$V,'existencia de wc'!B44)&gt;0,"sim","não")</f>
        <v>não</v>
      </c>
    </row>
    <row r="45" spans="1:11" x14ac:dyDescent="0.25">
      <c r="A45" t="s">
        <v>927</v>
      </c>
      <c r="B45" t="s">
        <v>928</v>
      </c>
      <c r="C45" t="s">
        <v>923</v>
      </c>
      <c r="D45">
        <v>310</v>
      </c>
      <c r="F45" t="s">
        <v>41</v>
      </c>
      <c r="G45">
        <v>7910</v>
      </c>
      <c r="H45" t="s">
        <v>924</v>
      </c>
      <c r="K45" t="str">
        <f>IF(COUNTIF('2_LN_DadosExportados'!$V:$V,'existencia de wc'!B45)&gt;0,"sim","não")</f>
        <v>não</v>
      </c>
    </row>
    <row r="46" spans="1:11" x14ac:dyDescent="0.25">
      <c r="A46" t="s">
        <v>929</v>
      </c>
      <c r="B46" t="s">
        <v>930</v>
      </c>
      <c r="C46" t="s">
        <v>923</v>
      </c>
      <c r="D46">
        <v>310</v>
      </c>
      <c r="F46" t="s">
        <v>41</v>
      </c>
      <c r="G46">
        <v>7910</v>
      </c>
      <c r="H46" t="s">
        <v>924</v>
      </c>
      <c r="K46" t="str">
        <f>IF(COUNTIF('2_LN_DadosExportados'!$V:$V,'existencia de wc'!B46)&gt;0,"sim","não")</f>
        <v>não</v>
      </c>
    </row>
    <row r="47" spans="1:11" x14ac:dyDescent="0.25">
      <c r="A47" t="s">
        <v>931</v>
      </c>
      <c r="B47" t="s">
        <v>932</v>
      </c>
      <c r="C47" t="s">
        <v>923</v>
      </c>
      <c r="D47">
        <v>310</v>
      </c>
      <c r="F47" t="s">
        <v>41</v>
      </c>
      <c r="G47">
        <v>7910</v>
      </c>
      <c r="H47" t="s">
        <v>924</v>
      </c>
      <c r="K47" t="str">
        <f>IF(COUNTIF('2_LN_DadosExportados'!$V:$V,'existencia de wc'!B47)&gt;0,"sim","não")</f>
        <v>não</v>
      </c>
    </row>
    <row r="48" spans="1:11" x14ac:dyDescent="0.25">
      <c r="A48" t="s">
        <v>933</v>
      </c>
      <c r="B48" t="s">
        <v>934</v>
      </c>
      <c r="C48" t="s">
        <v>923</v>
      </c>
      <c r="D48">
        <v>310</v>
      </c>
      <c r="F48" t="s">
        <v>41</v>
      </c>
      <c r="G48">
        <v>7910</v>
      </c>
      <c r="H48" t="s">
        <v>924</v>
      </c>
      <c r="K48" t="str">
        <f>IF(COUNTIF('2_LN_DadosExportados'!$V:$V,'existencia de wc'!B48)&gt;0,"sim","não")</f>
        <v>não</v>
      </c>
    </row>
    <row r="49" spans="1:11" x14ac:dyDescent="0.25">
      <c r="A49" t="s">
        <v>935</v>
      </c>
      <c r="B49" t="s">
        <v>936</v>
      </c>
      <c r="C49" t="s">
        <v>923</v>
      </c>
      <c r="D49">
        <v>310</v>
      </c>
      <c r="F49" t="s">
        <v>41</v>
      </c>
      <c r="G49">
        <v>7910</v>
      </c>
      <c r="H49" t="s">
        <v>924</v>
      </c>
      <c r="K49" t="str">
        <f>IF(COUNTIF('2_LN_DadosExportados'!$V:$V,'existencia de wc'!B49)&gt;0,"sim","não")</f>
        <v>não</v>
      </c>
    </row>
    <row r="50" spans="1:11" x14ac:dyDescent="0.25">
      <c r="A50" t="s">
        <v>937</v>
      </c>
      <c r="B50" t="s">
        <v>938</v>
      </c>
      <c r="C50" t="s">
        <v>923</v>
      </c>
      <c r="D50">
        <v>310</v>
      </c>
      <c r="F50" t="s">
        <v>41</v>
      </c>
      <c r="G50">
        <v>7910</v>
      </c>
      <c r="H50" t="s">
        <v>924</v>
      </c>
      <c r="K50" t="str">
        <f>IF(COUNTIF('2_LN_DadosExportados'!$V:$V,'existencia de wc'!B50)&gt;0,"sim","não")</f>
        <v>não</v>
      </c>
    </row>
    <row r="51" spans="1:11" x14ac:dyDescent="0.25">
      <c r="A51" t="s">
        <v>939</v>
      </c>
      <c r="B51" t="s">
        <v>872</v>
      </c>
      <c r="C51" t="s">
        <v>923</v>
      </c>
      <c r="D51">
        <v>310</v>
      </c>
      <c r="F51" t="s">
        <v>41</v>
      </c>
      <c r="G51">
        <v>7910</v>
      </c>
      <c r="H51" t="s">
        <v>924</v>
      </c>
      <c r="K51" t="str">
        <f>IF(COUNTIF('2_LN_DadosExportados'!$V:$V,'existencia de wc'!B51)&gt;0,"sim","não")</f>
        <v>não</v>
      </c>
    </row>
    <row r="52" spans="1:11" x14ac:dyDescent="0.25">
      <c r="A52" t="s">
        <v>940</v>
      </c>
      <c r="B52" t="s">
        <v>941</v>
      </c>
      <c r="C52" t="s">
        <v>923</v>
      </c>
      <c r="D52">
        <v>310</v>
      </c>
      <c r="F52" t="s">
        <v>41</v>
      </c>
      <c r="G52">
        <v>7910</v>
      </c>
      <c r="H52" t="s">
        <v>924</v>
      </c>
      <c r="K52" t="str">
        <f>IF(COUNTIF('2_LN_DadosExportados'!$V:$V,'existencia de wc'!B52)&gt;0,"sim","não")</f>
        <v>não</v>
      </c>
    </row>
    <row r="53" spans="1:11" x14ac:dyDescent="0.25">
      <c r="A53" t="s">
        <v>942</v>
      </c>
      <c r="B53" t="s">
        <v>943</v>
      </c>
      <c r="C53" t="s">
        <v>923</v>
      </c>
      <c r="D53">
        <v>310</v>
      </c>
      <c r="F53" t="s">
        <v>41</v>
      </c>
      <c r="G53">
        <v>7910</v>
      </c>
      <c r="H53" t="s">
        <v>924</v>
      </c>
      <c r="K53" t="str">
        <f>IF(COUNTIF('2_LN_DadosExportados'!$V:$V,'existencia de wc'!B53)&gt;0,"sim","não")</f>
        <v>não</v>
      </c>
    </row>
    <row r="54" spans="1:11" x14ac:dyDescent="0.25">
      <c r="A54" t="s">
        <v>944</v>
      </c>
      <c r="B54" t="s">
        <v>945</v>
      </c>
      <c r="C54" t="s">
        <v>923</v>
      </c>
      <c r="D54">
        <v>310</v>
      </c>
      <c r="F54" t="s">
        <v>41</v>
      </c>
      <c r="G54">
        <v>7910</v>
      </c>
      <c r="H54" t="s">
        <v>924</v>
      </c>
      <c r="K54" t="str">
        <f>IF(COUNTIF('2_LN_DadosExportados'!$V:$V,'existencia de wc'!B54)&gt;0,"sim","não")</f>
        <v>não</v>
      </c>
    </row>
    <row r="55" spans="1:11" x14ac:dyDescent="0.25">
      <c r="A55" t="s">
        <v>946</v>
      </c>
      <c r="B55" t="s">
        <v>947</v>
      </c>
      <c r="C55" t="s">
        <v>923</v>
      </c>
      <c r="D55">
        <v>310</v>
      </c>
      <c r="F55" t="s">
        <v>41</v>
      </c>
      <c r="G55">
        <v>7910</v>
      </c>
      <c r="H55" t="s">
        <v>924</v>
      </c>
      <c r="K55" t="str">
        <f>IF(COUNTIF('2_LN_DadosExportados'!$V:$V,'existencia de wc'!B55)&gt;0,"sim","não")</f>
        <v>não</v>
      </c>
    </row>
    <row r="56" spans="1:11" x14ac:dyDescent="0.25">
      <c r="A56" t="s">
        <v>948</v>
      </c>
      <c r="B56" t="s">
        <v>949</v>
      </c>
      <c r="C56" t="s">
        <v>923</v>
      </c>
      <c r="D56">
        <v>310</v>
      </c>
      <c r="F56" t="s">
        <v>41</v>
      </c>
      <c r="G56">
        <v>7910</v>
      </c>
      <c r="H56" t="s">
        <v>924</v>
      </c>
      <c r="K56" t="str">
        <f>IF(COUNTIF('2_LN_DadosExportados'!$V:$V,'existencia de wc'!B56)&gt;0,"sim","não")</f>
        <v>não</v>
      </c>
    </row>
    <row r="57" spans="1:11" x14ac:dyDescent="0.25">
      <c r="A57" t="s">
        <v>950</v>
      </c>
      <c r="B57" t="s">
        <v>951</v>
      </c>
      <c r="C57" t="s">
        <v>923</v>
      </c>
      <c r="D57">
        <v>310</v>
      </c>
      <c r="F57" t="s">
        <v>41</v>
      </c>
      <c r="G57">
        <v>7910</v>
      </c>
      <c r="H57" t="s">
        <v>924</v>
      </c>
      <c r="K57" t="str">
        <f>IF(COUNTIF('2_LN_DadosExportados'!$V:$V,'existencia de wc'!B57)&gt;0,"sim","não")</f>
        <v>não</v>
      </c>
    </row>
    <row r="58" spans="1:11" x14ac:dyDescent="0.25">
      <c r="A58" t="s">
        <v>952</v>
      </c>
      <c r="B58" t="s">
        <v>953</v>
      </c>
      <c r="C58" t="s">
        <v>923</v>
      </c>
      <c r="D58">
        <v>310</v>
      </c>
      <c r="F58" t="s">
        <v>41</v>
      </c>
      <c r="G58">
        <v>7910</v>
      </c>
      <c r="H58" t="s">
        <v>924</v>
      </c>
      <c r="K58" t="str">
        <f>IF(COUNTIF('2_LN_DadosExportados'!$V:$V,'existencia de wc'!B58)&gt;0,"sim","não")</f>
        <v>não</v>
      </c>
    </row>
    <row r="59" spans="1:11" x14ac:dyDescent="0.25">
      <c r="A59" t="s">
        <v>954</v>
      </c>
      <c r="B59" t="s">
        <v>955</v>
      </c>
      <c r="C59" t="s">
        <v>923</v>
      </c>
      <c r="D59">
        <v>310</v>
      </c>
      <c r="F59" t="s">
        <v>41</v>
      </c>
      <c r="G59">
        <v>7910</v>
      </c>
      <c r="H59" t="s">
        <v>924</v>
      </c>
      <c r="K59" t="str">
        <f>IF(COUNTIF('2_LN_DadosExportados'!$V:$V,'existencia de wc'!B59)&gt;0,"sim","não")</f>
        <v>não</v>
      </c>
    </row>
    <row r="60" spans="1:11" x14ac:dyDescent="0.25">
      <c r="A60" t="s">
        <v>956</v>
      </c>
      <c r="B60" t="s">
        <v>957</v>
      </c>
      <c r="C60" t="s">
        <v>923</v>
      </c>
      <c r="D60">
        <v>310</v>
      </c>
      <c r="F60" t="s">
        <v>41</v>
      </c>
      <c r="G60">
        <v>7910</v>
      </c>
      <c r="H60" t="s">
        <v>924</v>
      </c>
      <c r="K60" t="str">
        <f>IF(COUNTIF('2_LN_DadosExportados'!$V:$V,'existencia de wc'!B60)&gt;0,"sim","não")</f>
        <v>não</v>
      </c>
    </row>
    <row r="61" spans="1:11" x14ac:dyDescent="0.25">
      <c r="A61" t="s">
        <v>958</v>
      </c>
      <c r="B61" t="s">
        <v>959</v>
      </c>
      <c r="C61" t="s">
        <v>923</v>
      </c>
      <c r="D61">
        <v>310</v>
      </c>
      <c r="F61" t="s">
        <v>41</v>
      </c>
      <c r="G61">
        <v>7910</v>
      </c>
      <c r="H61" t="s">
        <v>924</v>
      </c>
      <c r="K61" t="str">
        <f>IF(COUNTIF('2_LN_DadosExportados'!$V:$V,'existencia de wc'!B61)&gt;0,"sim","não")</f>
        <v>não</v>
      </c>
    </row>
    <row r="62" spans="1:11" x14ac:dyDescent="0.25">
      <c r="A62" t="s">
        <v>960</v>
      </c>
      <c r="B62" t="s">
        <v>961</v>
      </c>
      <c r="C62" t="s">
        <v>923</v>
      </c>
      <c r="D62">
        <v>310</v>
      </c>
      <c r="F62" t="s">
        <v>41</v>
      </c>
      <c r="G62">
        <v>7910</v>
      </c>
      <c r="H62" t="s">
        <v>924</v>
      </c>
      <c r="K62" t="str">
        <f>IF(COUNTIF('2_LN_DadosExportados'!$V:$V,'existencia de wc'!B62)&gt;0,"sim","não")</f>
        <v>não</v>
      </c>
    </row>
    <row r="63" spans="1:11" x14ac:dyDescent="0.25">
      <c r="A63" t="s">
        <v>962</v>
      </c>
      <c r="B63" t="s">
        <v>963</v>
      </c>
      <c r="C63" t="s">
        <v>862</v>
      </c>
      <c r="D63">
        <v>310</v>
      </c>
      <c r="F63" t="s">
        <v>41</v>
      </c>
      <c r="G63">
        <v>2100</v>
      </c>
      <c r="H63" t="s">
        <v>876</v>
      </c>
      <c r="K63" t="str">
        <f>IF(COUNTIF('2_LN_DadosExportados'!$V:$V,'existencia de wc'!B63)&gt;0,"sim","não")</f>
        <v>não</v>
      </c>
    </row>
    <row r="64" spans="1:11" x14ac:dyDescent="0.25">
      <c r="A64">
        <v>3120</v>
      </c>
      <c r="B64" t="s">
        <v>964</v>
      </c>
      <c r="C64" t="s">
        <v>829</v>
      </c>
      <c r="D64">
        <v>310</v>
      </c>
      <c r="E64" t="s">
        <v>877</v>
      </c>
      <c r="F64" t="s">
        <v>41</v>
      </c>
      <c r="G64" t="s">
        <v>839</v>
      </c>
      <c r="H64" t="s">
        <v>840</v>
      </c>
      <c r="K64" t="str">
        <f>IF(COUNTIF('2_LN_DadosExportados'!$V:$V,'existencia de wc'!B64)&gt;0,"sim","não")</f>
        <v>não</v>
      </c>
    </row>
    <row r="65" spans="1:11" x14ac:dyDescent="0.25">
      <c r="A65">
        <v>3600</v>
      </c>
      <c r="B65" t="s">
        <v>965</v>
      </c>
      <c r="C65" t="s">
        <v>829</v>
      </c>
      <c r="D65">
        <v>310</v>
      </c>
      <c r="E65" t="s">
        <v>877</v>
      </c>
      <c r="F65" t="s">
        <v>41</v>
      </c>
      <c r="G65" t="s">
        <v>839</v>
      </c>
      <c r="H65" t="s">
        <v>840</v>
      </c>
      <c r="K65" t="str">
        <f>IF(COUNTIF('2_LN_DadosExportados'!$V:$V,'existencia de wc'!B65)&gt;0,"sim","não")</f>
        <v>não</v>
      </c>
    </row>
    <row r="66" spans="1:11" x14ac:dyDescent="0.25">
      <c r="A66">
        <v>3601</v>
      </c>
      <c r="B66" t="s">
        <v>749</v>
      </c>
      <c r="C66" t="s">
        <v>829</v>
      </c>
      <c r="D66">
        <v>310</v>
      </c>
      <c r="E66" t="s">
        <v>877</v>
      </c>
      <c r="F66" t="s">
        <v>41</v>
      </c>
      <c r="G66">
        <v>431</v>
      </c>
      <c r="H66" t="s">
        <v>966</v>
      </c>
      <c r="K66" t="str">
        <f>IF(COUNTIF('2_LN_DadosExportados'!$V:$V,'existencia de wc'!B66)&gt;0,"sim","não")</f>
        <v>não</v>
      </c>
    </row>
    <row r="67" spans="1:11" x14ac:dyDescent="0.25">
      <c r="A67">
        <v>3800</v>
      </c>
      <c r="B67" t="s">
        <v>123</v>
      </c>
      <c r="C67" t="s">
        <v>829</v>
      </c>
      <c r="D67">
        <v>310</v>
      </c>
      <c r="E67" t="s">
        <v>877</v>
      </c>
      <c r="F67" t="s">
        <v>41</v>
      </c>
      <c r="G67">
        <v>433</v>
      </c>
      <c r="H67" t="s">
        <v>967</v>
      </c>
      <c r="K67" t="str">
        <f>IF(COUNTIF('2_LN_DadosExportados'!$V:$V,'existencia de wc'!B67)&gt;0,"sim","não")</f>
        <v>não</v>
      </c>
    </row>
    <row r="68" spans="1:11" x14ac:dyDescent="0.25">
      <c r="A68">
        <v>3950</v>
      </c>
      <c r="B68" t="s">
        <v>102</v>
      </c>
      <c r="C68" t="s">
        <v>829</v>
      </c>
      <c r="D68">
        <v>310</v>
      </c>
      <c r="E68" t="s">
        <v>877</v>
      </c>
      <c r="F68" t="s">
        <v>41</v>
      </c>
      <c r="G68">
        <v>423</v>
      </c>
      <c r="H68" t="s">
        <v>968</v>
      </c>
      <c r="K68" t="str">
        <f>IF(COUNTIF('2_LN_DadosExportados'!$V:$V,'existencia de wc'!B68)&gt;0,"sim","não")</f>
        <v>não</v>
      </c>
    </row>
    <row r="69" spans="1:11" x14ac:dyDescent="0.25">
      <c r="A69">
        <v>3951</v>
      </c>
      <c r="B69" t="s">
        <v>969</v>
      </c>
      <c r="C69" t="s">
        <v>829</v>
      </c>
      <c r="D69">
        <v>310</v>
      </c>
      <c r="E69" t="s">
        <v>877</v>
      </c>
      <c r="F69" t="s">
        <v>41</v>
      </c>
      <c r="G69" t="s">
        <v>839</v>
      </c>
      <c r="H69" t="s">
        <v>840</v>
      </c>
      <c r="K69" t="str">
        <f>IF(COUNTIF('2_LN_DadosExportados'!$V:$V,'existencia de wc'!B69)&gt;0,"sim","não")</f>
        <v>não</v>
      </c>
    </row>
    <row r="70" spans="1:11" x14ac:dyDescent="0.25">
      <c r="A70">
        <v>3952</v>
      </c>
      <c r="B70" t="s">
        <v>753</v>
      </c>
      <c r="C70" t="s">
        <v>829</v>
      </c>
      <c r="D70">
        <v>310</v>
      </c>
      <c r="E70" t="s">
        <v>877</v>
      </c>
      <c r="F70" t="s">
        <v>41</v>
      </c>
      <c r="G70">
        <v>432</v>
      </c>
      <c r="H70" t="s">
        <v>970</v>
      </c>
      <c r="K70" t="str">
        <f>IF(COUNTIF('2_LN_DadosExportados'!$V:$V,'existencia de wc'!B70)&gt;0,"sim","não")</f>
        <v>não</v>
      </c>
    </row>
    <row r="71" spans="1:11" x14ac:dyDescent="0.25">
      <c r="A71">
        <v>4001</v>
      </c>
      <c r="B71" t="s">
        <v>971</v>
      </c>
      <c r="C71" t="s">
        <v>972</v>
      </c>
      <c r="D71">
        <v>310</v>
      </c>
      <c r="F71" t="s">
        <v>41</v>
      </c>
      <c r="K71" t="str">
        <f>IF(COUNTIF('2_LN_DadosExportados'!$V:$V,'existencia de wc'!B71)&gt;0,"sim","não")</f>
        <v>não</v>
      </c>
    </row>
    <row r="72" spans="1:11" x14ac:dyDescent="0.25">
      <c r="A72">
        <v>4003</v>
      </c>
      <c r="B72" t="s">
        <v>973</v>
      </c>
      <c r="C72" t="s">
        <v>972</v>
      </c>
      <c r="D72">
        <v>310</v>
      </c>
      <c r="F72" t="s">
        <v>41</v>
      </c>
      <c r="K72" t="str">
        <f>IF(COUNTIF('2_LN_DadosExportados'!$V:$V,'existencia de wc'!B72)&gt;0,"sim","não")</f>
        <v>não</v>
      </c>
    </row>
    <row r="73" spans="1:11" x14ac:dyDescent="0.25">
      <c r="A73">
        <v>4004</v>
      </c>
      <c r="B73" t="s">
        <v>974</v>
      </c>
      <c r="C73" t="s">
        <v>972</v>
      </c>
      <c r="D73">
        <v>310</v>
      </c>
      <c r="F73" t="s">
        <v>41</v>
      </c>
      <c r="K73" t="str">
        <f>IF(COUNTIF('2_LN_DadosExportados'!$V:$V,'existencia de wc'!B73)&gt;0,"sim","não")</f>
        <v>não</v>
      </c>
    </row>
    <row r="74" spans="1:11" x14ac:dyDescent="0.25">
      <c r="A74">
        <v>4006</v>
      </c>
      <c r="B74" t="s">
        <v>975</v>
      </c>
      <c r="C74" t="s">
        <v>972</v>
      </c>
      <c r="D74">
        <v>310</v>
      </c>
      <c r="F74" t="s">
        <v>41</v>
      </c>
      <c r="K74" t="str">
        <f>IF(COUNTIF('2_LN_DadosExportados'!$V:$V,'existencia de wc'!B74)&gt;0,"sim","não")</f>
        <v>não</v>
      </c>
    </row>
    <row r="75" spans="1:11" x14ac:dyDescent="0.25">
      <c r="A75">
        <v>4007</v>
      </c>
      <c r="B75" t="s">
        <v>59</v>
      </c>
      <c r="C75" t="s">
        <v>972</v>
      </c>
      <c r="D75">
        <v>310</v>
      </c>
      <c r="F75" t="s">
        <v>41</v>
      </c>
      <c r="K75" t="str">
        <f>IF(COUNTIF('2_LN_DadosExportados'!$V:$V,'existencia de wc'!B75)&gt;0,"sim","não")</f>
        <v>sim</v>
      </c>
    </row>
    <row r="76" spans="1:11" x14ac:dyDescent="0.25">
      <c r="A76">
        <v>4008</v>
      </c>
      <c r="B76" t="s">
        <v>976</v>
      </c>
      <c r="C76" t="s">
        <v>972</v>
      </c>
      <c r="D76">
        <v>310</v>
      </c>
      <c r="F76" t="s">
        <v>41</v>
      </c>
      <c r="K76" t="str">
        <f>IF(COUNTIF('2_LN_DadosExportados'!$V:$V,'existencia de wc'!B76)&gt;0,"sim","não")</f>
        <v>não</v>
      </c>
    </row>
    <row r="77" spans="1:11" x14ac:dyDescent="0.25">
      <c r="A77">
        <v>4009</v>
      </c>
      <c r="B77" t="s">
        <v>977</v>
      </c>
      <c r="C77" t="s">
        <v>972</v>
      </c>
      <c r="D77">
        <v>310</v>
      </c>
      <c r="F77" t="s">
        <v>41</v>
      </c>
      <c r="K77" t="str">
        <f>IF(COUNTIF('2_LN_DadosExportados'!$V:$V,'existencia de wc'!B77)&gt;0,"sim","não")</f>
        <v>não</v>
      </c>
    </row>
    <row r="78" spans="1:11" x14ac:dyDescent="0.25">
      <c r="A78">
        <v>4010</v>
      </c>
      <c r="B78" t="s">
        <v>978</v>
      </c>
      <c r="C78" t="s">
        <v>972</v>
      </c>
      <c r="D78">
        <v>310</v>
      </c>
      <c r="F78" t="s">
        <v>41</v>
      </c>
      <c r="K78" t="str">
        <f>IF(COUNTIF('2_LN_DadosExportados'!$V:$V,'existencia de wc'!B78)&gt;0,"sim","não")</f>
        <v>não</v>
      </c>
    </row>
    <row r="79" spans="1:11" x14ac:dyDescent="0.25">
      <c r="A79">
        <v>4011</v>
      </c>
      <c r="B79" t="s">
        <v>979</v>
      </c>
      <c r="C79" t="s">
        <v>972</v>
      </c>
      <c r="D79">
        <v>310</v>
      </c>
      <c r="F79" t="s">
        <v>41</v>
      </c>
      <c r="K79" t="str">
        <f>IF(COUNTIF('2_LN_DadosExportados'!$V:$V,'existencia de wc'!B79)&gt;0,"sim","não")</f>
        <v>não</v>
      </c>
    </row>
    <row r="80" spans="1:11" x14ac:dyDescent="0.25">
      <c r="A80">
        <v>4012</v>
      </c>
      <c r="B80" t="s">
        <v>819</v>
      </c>
      <c r="C80" t="s">
        <v>972</v>
      </c>
      <c r="D80">
        <v>310</v>
      </c>
      <c r="F80" t="s">
        <v>41</v>
      </c>
      <c r="K80" t="str">
        <f>IF(COUNTIF('2_LN_DadosExportados'!$V:$V,'existencia de wc'!B80)&gt;0,"sim","não")</f>
        <v>não</v>
      </c>
    </row>
    <row r="81" spans="1:11" x14ac:dyDescent="0.25">
      <c r="A81">
        <v>4013</v>
      </c>
      <c r="B81" t="s">
        <v>980</v>
      </c>
      <c r="C81" t="s">
        <v>972</v>
      </c>
      <c r="D81">
        <v>310</v>
      </c>
      <c r="F81" t="s">
        <v>41</v>
      </c>
      <c r="K81" t="str">
        <f>IF(COUNTIF('2_LN_DadosExportados'!$V:$V,'existencia de wc'!B81)&gt;0,"sim","não")</f>
        <v>não</v>
      </c>
    </row>
    <row r="82" spans="1:11" x14ac:dyDescent="0.25">
      <c r="A82">
        <v>4014</v>
      </c>
      <c r="B82" t="s">
        <v>981</v>
      </c>
      <c r="C82" t="s">
        <v>972</v>
      </c>
      <c r="D82">
        <v>310</v>
      </c>
      <c r="F82" t="s">
        <v>41</v>
      </c>
      <c r="K82" t="str">
        <f>IF(COUNTIF('2_LN_DadosExportados'!$V:$V,'existencia de wc'!B82)&gt;0,"sim","não")</f>
        <v>não</v>
      </c>
    </row>
    <row r="83" spans="1:11" x14ac:dyDescent="0.25">
      <c r="A83">
        <v>4015</v>
      </c>
      <c r="B83" t="s">
        <v>818</v>
      </c>
      <c r="C83" t="s">
        <v>972</v>
      </c>
      <c r="D83">
        <v>310</v>
      </c>
      <c r="F83" t="s">
        <v>41</v>
      </c>
      <c r="K83" t="str">
        <f>IF(COUNTIF('2_LN_DadosExportados'!$V:$V,'existencia de wc'!B83)&gt;0,"sim","não")</f>
        <v>não</v>
      </c>
    </row>
    <row r="84" spans="1:11" x14ac:dyDescent="0.25">
      <c r="A84">
        <v>4016</v>
      </c>
      <c r="B84" t="s">
        <v>982</v>
      </c>
      <c r="C84" t="s">
        <v>972</v>
      </c>
      <c r="D84">
        <v>310</v>
      </c>
      <c r="F84" t="s">
        <v>41</v>
      </c>
      <c r="K84" t="str">
        <f>IF(COUNTIF('2_LN_DadosExportados'!$V:$V,'existencia de wc'!B84)&gt;0,"sim","não")</f>
        <v>não</v>
      </c>
    </row>
    <row r="85" spans="1:11" x14ac:dyDescent="0.25">
      <c r="A85">
        <v>4018</v>
      </c>
      <c r="B85" t="s">
        <v>983</v>
      </c>
      <c r="C85" t="s">
        <v>972</v>
      </c>
      <c r="D85">
        <v>310</v>
      </c>
      <c r="F85" t="s">
        <v>41</v>
      </c>
      <c r="K85" t="str">
        <f>IF(COUNTIF('2_LN_DadosExportados'!$V:$V,'existencia de wc'!B85)&gt;0,"sim","não")</f>
        <v>não</v>
      </c>
    </row>
    <row r="86" spans="1:11" x14ac:dyDescent="0.25">
      <c r="A86">
        <v>4020</v>
      </c>
      <c r="B86" t="s">
        <v>984</v>
      </c>
      <c r="C86" t="s">
        <v>972</v>
      </c>
      <c r="D86">
        <v>310</v>
      </c>
      <c r="F86" t="s">
        <v>41</v>
      </c>
      <c r="K86" t="str">
        <f>IF(COUNTIF('2_LN_DadosExportados'!$V:$V,'existencia de wc'!B86)&gt;0,"sim","não")</f>
        <v>não</v>
      </c>
    </row>
    <row r="87" spans="1:11" x14ac:dyDescent="0.25">
      <c r="A87">
        <v>4021</v>
      </c>
      <c r="B87" t="s">
        <v>985</v>
      </c>
      <c r="C87" t="s">
        <v>972</v>
      </c>
      <c r="D87">
        <v>310</v>
      </c>
      <c r="F87" t="s">
        <v>41</v>
      </c>
      <c r="K87" t="str">
        <f>IF(COUNTIF('2_LN_DadosExportados'!$V:$V,'existencia de wc'!B87)&gt;0,"sim","não")</f>
        <v>não</v>
      </c>
    </row>
    <row r="88" spans="1:11" x14ac:dyDescent="0.25">
      <c r="A88">
        <v>4022</v>
      </c>
      <c r="B88" t="s">
        <v>986</v>
      </c>
      <c r="C88" t="s">
        <v>972</v>
      </c>
      <c r="D88">
        <v>310</v>
      </c>
      <c r="F88" t="s">
        <v>41</v>
      </c>
      <c r="K88" t="str">
        <f>IF(COUNTIF('2_LN_DadosExportados'!$V:$V,'existencia de wc'!B88)&gt;0,"sim","não")</f>
        <v>não</v>
      </c>
    </row>
    <row r="89" spans="1:11" x14ac:dyDescent="0.25">
      <c r="A89">
        <v>4023</v>
      </c>
      <c r="B89" t="s">
        <v>987</v>
      </c>
      <c r="C89" t="s">
        <v>972</v>
      </c>
      <c r="D89">
        <v>310</v>
      </c>
      <c r="F89" t="s">
        <v>41</v>
      </c>
      <c r="K89" t="str">
        <f>IF(COUNTIF('2_LN_DadosExportados'!$V:$V,'existencia de wc'!B89)&gt;0,"sim","não")</f>
        <v>não</v>
      </c>
    </row>
    <row r="90" spans="1:11" x14ac:dyDescent="0.25">
      <c r="A90">
        <v>4024</v>
      </c>
      <c r="B90" t="s">
        <v>988</v>
      </c>
      <c r="C90" t="s">
        <v>972</v>
      </c>
      <c r="D90">
        <v>310</v>
      </c>
      <c r="F90" t="s">
        <v>41</v>
      </c>
      <c r="K90" t="str">
        <f>IF(COUNTIF('2_LN_DadosExportados'!$V:$V,'existencia de wc'!B90)&gt;0,"sim","não")</f>
        <v>não</v>
      </c>
    </row>
    <row r="91" spans="1:11" x14ac:dyDescent="0.25">
      <c r="A91">
        <v>4025</v>
      </c>
      <c r="B91" t="s">
        <v>989</v>
      </c>
      <c r="C91" t="s">
        <v>972</v>
      </c>
      <c r="D91">
        <v>310</v>
      </c>
      <c r="F91" t="s">
        <v>41</v>
      </c>
      <c r="K91" t="str">
        <f>IF(COUNTIF('2_LN_DadosExportados'!$V:$V,'existencia de wc'!B91)&gt;0,"sim","não")</f>
        <v>não</v>
      </c>
    </row>
    <row r="92" spans="1:11" x14ac:dyDescent="0.25">
      <c r="A92">
        <v>4100</v>
      </c>
      <c r="B92" t="s">
        <v>990</v>
      </c>
      <c r="C92" t="s">
        <v>972</v>
      </c>
      <c r="D92">
        <v>310</v>
      </c>
      <c r="F92" t="s">
        <v>41</v>
      </c>
      <c r="K92" t="str">
        <f>IF(COUNTIF('2_LN_DadosExportados'!$V:$V,'existencia de wc'!B92)&gt;0,"sim","não")</f>
        <v>não</v>
      </c>
    </row>
    <row r="93" spans="1:11" x14ac:dyDescent="0.25">
      <c r="A93">
        <v>4101</v>
      </c>
      <c r="B93" t="s">
        <v>991</v>
      </c>
      <c r="C93" t="s">
        <v>972</v>
      </c>
      <c r="D93">
        <v>310</v>
      </c>
      <c r="F93" t="s">
        <v>41</v>
      </c>
      <c r="K93" t="str">
        <f>IF(COUNTIF('2_LN_DadosExportados'!$V:$V,'existencia de wc'!B93)&gt;0,"sim","não")</f>
        <v>não</v>
      </c>
    </row>
    <row r="94" spans="1:11" x14ac:dyDescent="0.25">
      <c r="A94">
        <v>4102</v>
      </c>
      <c r="B94" t="s">
        <v>992</v>
      </c>
      <c r="C94" t="s">
        <v>972</v>
      </c>
      <c r="D94">
        <v>310</v>
      </c>
      <c r="F94" t="s">
        <v>41</v>
      </c>
      <c r="K94" t="str">
        <f>IF(COUNTIF('2_LN_DadosExportados'!$V:$V,'existencia de wc'!B94)&gt;0,"sim","não")</f>
        <v>não</v>
      </c>
    </row>
    <row r="95" spans="1:11" x14ac:dyDescent="0.25">
      <c r="A95">
        <v>4121</v>
      </c>
      <c r="B95" t="s">
        <v>993</v>
      </c>
      <c r="C95" t="s">
        <v>972</v>
      </c>
      <c r="D95">
        <v>310</v>
      </c>
      <c r="F95" t="s">
        <v>41</v>
      </c>
      <c r="K95" t="str">
        <f>IF(COUNTIF('2_LN_DadosExportados'!$V:$V,'existencia de wc'!B95)&gt;0,"sim","não")</f>
        <v>não</v>
      </c>
    </row>
    <row r="96" spans="1:11" x14ac:dyDescent="0.25">
      <c r="A96">
        <v>4122</v>
      </c>
      <c r="B96" t="s">
        <v>994</v>
      </c>
      <c r="C96" t="s">
        <v>972</v>
      </c>
      <c r="D96">
        <v>310</v>
      </c>
      <c r="F96" t="s">
        <v>41</v>
      </c>
      <c r="K96" t="str">
        <f>IF(COUNTIF('2_LN_DadosExportados'!$V:$V,'existencia de wc'!B96)&gt;0,"sim","não")</f>
        <v>não</v>
      </c>
    </row>
    <row r="97" spans="1:11" x14ac:dyDescent="0.25">
      <c r="A97">
        <v>4123</v>
      </c>
      <c r="B97" t="s">
        <v>995</v>
      </c>
      <c r="C97" t="s">
        <v>972</v>
      </c>
      <c r="D97">
        <v>310</v>
      </c>
      <c r="F97" t="s">
        <v>41</v>
      </c>
      <c r="K97" t="str">
        <f>IF(COUNTIF('2_LN_DadosExportados'!$V:$V,'existencia de wc'!B97)&gt;0,"sim","não")</f>
        <v>não</v>
      </c>
    </row>
    <row r="98" spans="1:11" x14ac:dyDescent="0.25">
      <c r="A98">
        <v>4124</v>
      </c>
      <c r="B98" t="s">
        <v>104</v>
      </c>
      <c r="C98" t="s">
        <v>972</v>
      </c>
      <c r="D98">
        <v>310</v>
      </c>
      <c r="F98" t="s">
        <v>41</v>
      </c>
      <c r="K98" t="str">
        <f>IF(COUNTIF('2_LN_DadosExportados'!$V:$V,'existencia de wc'!B98)&gt;0,"sim","não")</f>
        <v>não</v>
      </c>
    </row>
    <row r="99" spans="1:11" x14ac:dyDescent="0.25">
      <c r="A99">
        <v>4125</v>
      </c>
      <c r="B99" t="s">
        <v>996</v>
      </c>
      <c r="C99" t="s">
        <v>972</v>
      </c>
      <c r="D99">
        <v>310</v>
      </c>
      <c r="F99" t="s">
        <v>41</v>
      </c>
      <c r="K99" t="str">
        <f>IF(COUNTIF('2_LN_DadosExportados'!$V:$V,'existencia de wc'!B99)&gt;0,"sim","não")</f>
        <v>não</v>
      </c>
    </row>
    <row r="100" spans="1:11" x14ac:dyDescent="0.25">
      <c r="A100">
        <v>4126</v>
      </c>
      <c r="B100" t="s">
        <v>997</v>
      </c>
      <c r="C100" t="s">
        <v>972</v>
      </c>
      <c r="D100">
        <v>310</v>
      </c>
      <c r="F100" t="s">
        <v>41</v>
      </c>
      <c r="K100" t="str">
        <f>IF(COUNTIF('2_LN_DadosExportados'!$V:$V,'existencia de wc'!B100)&gt;0,"sim","não")</f>
        <v>não</v>
      </c>
    </row>
    <row r="101" spans="1:11" x14ac:dyDescent="0.25">
      <c r="A101">
        <v>4127</v>
      </c>
      <c r="B101" t="s">
        <v>989</v>
      </c>
      <c r="C101" t="s">
        <v>972</v>
      </c>
      <c r="D101">
        <v>310</v>
      </c>
      <c r="F101" t="s">
        <v>41</v>
      </c>
      <c r="K101" t="str">
        <f>IF(COUNTIF('2_LN_DadosExportados'!$V:$V,'existencia de wc'!B101)&gt;0,"sim","não")</f>
        <v>não</v>
      </c>
    </row>
    <row r="102" spans="1:11" x14ac:dyDescent="0.25">
      <c r="A102">
        <v>4128</v>
      </c>
      <c r="B102" t="s">
        <v>998</v>
      </c>
      <c r="C102" t="s">
        <v>972</v>
      </c>
      <c r="D102">
        <v>310</v>
      </c>
      <c r="F102" t="s">
        <v>41</v>
      </c>
      <c r="K102" t="str">
        <f>IF(COUNTIF('2_LN_DadosExportados'!$V:$V,'existencia de wc'!B102)&gt;0,"sim","não")</f>
        <v>não</v>
      </c>
    </row>
    <row r="103" spans="1:11" x14ac:dyDescent="0.25">
      <c r="A103">
        <v>4129</v>
      </c>
      <c r="B103" t="s">
        <v>999</v>
      </c>
      <c r="C103" t="s">
        <v>972</v>
      </c>
      <c r="D103">
        <v>310</v>
      </c>
      <c r="F103" t="s">
        <v>41</v>
      </c>
      <c r="K103" t="str">
        <f>IF(COUNTIF('2_LN_DadosExportados'!$V:$V,'existencia de wc'!B103)&gt;0,"sim","não")</f>
        <v>não</v>
      </c>
    </row>
    <row r="104" spans="1:11" x14ac:dyDescent="0.25">
      <c r="A104">
        <v>4130</v>
      </c>
      <c r="B104" t="s">
        <v>820</v>
      </c>
      <c r="C104" t="s">
        <v>972</v>
      </c>
      <c r="D104">
        <v>310</v>
      </c>
      <c r="F104" t="s">
        <v>41</v>
      </c>
      <c r="K104" t="str">
        <f>IF(COUNTIF('2_LN_DadosExportados'!$V:$V,'existencia de wc'!B104)&gt;0,"sim","não")</f>
        <v>não</v>
      </c>
    </row>
    <row r="105" spans="1:11" x14ac:dyDescent="0.25">
      <c r="A105">
        <v>4131</v>
      </c>
      <c r="B105" t="s">
        <v>1000</v>
      </c>
      <c r="C105" t="s">
        <v>972</v>
      </c>
      <c r="D105">
        <v>310</v>
      </c>
      <c r="F105" t="s">
        <v>41</v>
      </c>
      <c r="K105" t="str">
        <f>IF(COUNTIF('2_LN_DadosExportados'!$V:$V,'existencia de wc'!B105)&gt;0,"sim","não")</f>
        <v>não</v>
      </c>
    </row>
    <row r="106" spans="1:11" x14ac:dyDescent="0.25">
      <c r="A106">
        <v>5100</v>
      </c>
      <c r="B106" t="s">
        <v>755</v>
      </c>
      <c r="C106" t="s">
        <v>829</v>
      </c>
      <c r="D106">
        <v>310</v>
      </c>
      <c r="E106" t="s">
        <v>880</v>
      </c>
      <c r="F106" t="s">
        <v>41</v>
      </c>
      <c r="G106">
        <v>428</v>
      </c>
      <c r="H106" t="s">
        <v>1001</v>
      </c>
      <c r="K106" t="str">
        <f>IF(COUNTIF('2_LN_DadosExportados'!$V:$V,'existencia de wc'!B106)&gt;0,"sim","não")</f>
        <v>não</v>
      </c>
    </row>
    <row r="107" spans="1:11" x14ac:dyDescent="0.25">
      <c r="A107">
        <v>5101</v>
      </c>
      <c r="B107" t="s">
        <v>1002</v>
      </c>
      <c r="C107" t="s">
        <v>829</v>
      </c>
      <c r="D107">
        <v>310</v>
      </c>
      <c r="E107" t="s">
        <v>880</v>
      </c>
      <c r="F107" t="s">
        <v>41</v>
      </c>
      <c r="G107">
        <v>434</v>
      </c>
      <c r="H107" t="s">
        <v>1003</v>
      </c>
      <c r="K107" t="str">
        <f>IF(COUNTIF('2_LN_DadosExportados'!$V:$V,'existencia de wc'!B107)&gt;0,"sim","não")</f>
        <v>não</v>
      </c>
    </row>
    <row r="108" spans="1:11" x14ac:dyDescent="0.25">
      <c r="A108">
        <v>5110</v>
      </c>
      <c r="B108" t="s">
        <v>1004</v>
      </c>
      <c r="C108" t="s">
        <v>829</v>
      </c>
      <c r="D108">
        <v>310</v>
      </c>
      <c r="E108" t="s">
        <v>880</v>
      </c>
      <c r="F108" t="s">
        <v>41</v>
      </c>
      <c r="G108" t="s">
        <v>839</v>
      </c>
      <c r="H108" t="s">
        <v>840</v>
      </c>
      <c r="K108" t="str">
        <f>IF(COUNTIF('2_LN_DadosExportados'!$V:$V,'existencia de wc'!B108)&gt;0,"sim","não")</f>
        <v>não</v>
      </c>
    </row>
    <row r="109" spans="1:11" x14ac:dyDescent="0.25">
      <c r="A109">
        <v>5111</v>
      </c>
      <c r="B109" t="s">
        <v>1005</v>
      </c>
      <c r="C109" t="s">
        <v>829</v>
      </c>
      <c r="D109">
        <v>310</v>
      </c>
      <c r="E109" t="s">
        <v>880</v>
      </c>
      <c r="F109" t="s">
        <v>41</v>
      </c>
      <c r="G109" t="s">
        <v>839</v>
      </c>
      <c r="H109" t="s">
        <v>840</v>
      </c>
      <c r="K109" t="str">
        <f>IF(COUNTIF('2_LN_DadosExportados'!$V:$V,'existencia de wc'!B109)&gt;0,"sim","não")</f>
        <v>não</v>
      </c>
    </row>
    <row r="110" spans="1:11" x14ac:dyDescent="0.25">
      <c r="A110">
        <v>5112</v>
      </c>
      <c r="B110" t="s">
        <v>1006</v>
      </c>
      <c r="C110" t="s">
        <v>829</v>
      </c>
      <c r="D110">
        <v>310</v>
      </c>
      <c r="E110" t="s">
        <v>880</v>
      </c>
      <c r="F110" t="s">
        <v>41</v>
      </c>
      <c r="G110" t="s">
        <v>839</v>
      </c>
      <c r="H110" t="s">
        <v>840</v>
      </c>
      <c r="K110" t="str">
        <f>IF(COUNTIF('2_LN_DadosExportados'!$V:$V,'existencia de wc'!B110)&gt;0,"sim","não")</f>
        <v>não</v>
      </c>
    </row>
    <row r="111" spans="1:11" x14ac:dyDescent="0.25">
      <c r="A111">
        <v>5120</v>
      </c>
      <c r="B111" t="s">
        <v>1007</v>
      </c>
      <c r="C111" t="s">
        <v>829</v>
      </c>
      <c r="D111">
        <v>310</v>
      </c>
      <c r="E111" t="s">
        <v>880</v>
      </c>
      <c r="F111" t="s">
        <v>41</v>
      </c>
      <c r="G111" t="s">
        <v>839</v>
      </c>
      <c r="H111" t="s">
        <v>840</v>
      </c>
      <c r="K111" t="str">
        <f>IF(COUNTIF('2_LN_DadosExportados'!$V:$V,'existencia de wc'!B111)&gt;0,"sim","não")</f>
        <v>não</v>
      </c>
    </row>
    <row r="112" spans="1:11" x14ac:dyDescent="0.25">
      <c r="A112">
        <v>5121</v>
      </c>
      <c r="B112" t="s">
        <v>757</v>
      </c>
      <c r="C112" t="s">
        <v>829</v>
      </c>
      <c r="D112">
        <v>310</v>
      </c>
      <c r="E112" t="s">
        <v>880</v>
      </c>
      <c r="F112" t="s">
        <v>41</v>
      </c>
      <c r="G112">
        <v>435</v>
      </c>
      <c r="H112" t="s">
        <v>1008</v>
      </c>
      <c r="K112" t="str">
        <f>IF(COUNTIF('2_LN_DadosExportados'!$V:$V,'existencia de wc'!B112)&gt;0,"sim","não")</f>
        <v>não</v>
      </c>
    </row>
    <row r="113" spans="1:11" x14ac:dyDescent="0.25">
      <c r="A113">
        <v>5140</v>
      </c>
      <c r="B113" t="s">
        <v>1009</v>
      </c>
      <c r="C113" t="s">
        <v>829</v>
      </c>
      <c r="D113">
        <v>310</v>
      </c>
      <c r="E113" t="s">
        <v>880</v>
      </c>
      <c r="F113" t="s">
        <v>41</v>
      </c>
      <c r="G113" t="s">
        <v>839</v>
      </c>
      <c r="H113" t="s">
        <v>840</v>
      </c>
      <c r="K113" t="str">
        <f>IF(COUNTIF('2_LN_DadosExportados'!$V:$V,'existencia de wc'!B113)&gt;0,"sim","não")</f>
        <v>não</v>
      </c>
    </row>
    <row r="114" spans="1:11" x14ac:dyDescent="0.25">
      <c r="A114">
        <v>5141</v>
      </c>
      <c r="B114" t="s">
        <v>759</v>
      </c>
      <c r="C114" t="s">
        <v>829</v>
      </c>
      <c r="D114">
        <v>310</v>
      </c>
      <c r="E114" t="s">
        <v>880</v>
      </c>
      <c r="F114" t="s">
        <v>41</v>
      </c>
      <c r="G114">
        <v>436</v>
      </c>
      <c r="H114" t="s">
        <v>1010</v>
      </c>
      <c r="K114" t="str">
        <f>IF(COUNTIF('2_LN_DadosExportados'!$V:$V,'existencia de wc'!B114)&gt;0,"sim","não")</f>
        <v>não</v>
      </c>
    </row>
    <row r="115" spans="1:11" x14ac:dyDescent="0.25">
      <c r="A115">
        <v>5150</v>
      </c>
      <c r="B115" t="s">
        <v>761</v>
      </c>
      <c r="C115" t="s">
        <v>829</v>
      </c>
      <c r="D115">
        <v>310</v>
      </c>
      <c r="E115" t="s">
        <v>880</v>
      </c>
      <c r="F115" t="s">
        <v>41</v>
      </c>
      <c r="G115">
        <v>426</v>
      </c>
      <c r="H115" t="s">
        <v>1011</v>
      </c>
      <c r="K115" t="str">
        <f>IF(COUNTIF('2_LN_DadosExportados'!$V:$V,'existencia de wc'!B115)&gt;0,"sim","não")</f>
        <v>não</v>
      </c>
    </row>
    <row r="116" spans="1:11" x14ac:dyDescent="0.25">
      <c r="A116">
        <v>5151</v>
      </c>
      <c r="B116" t="s">
        <v>1012</v>
      </c>
      <c r="C116" t="s">
        <v>829</v>
      </c>
      <c r="D116">
        <v>310</v>
      </c>
      <c r="E116" t="s">
        <v>880</v>
      </c>
      <c r="F116" t="s">
        <v>41</v>
      </c>
      <c r="G116">
        <v>438</v>
      </c>
      <c r="H116" t="s">
        <v>1013</v>
      </c>
      <c r="K116" t="str">
        <f>IF(COUNTIF('2_LN_DadosExportados'!$V:$V,'existencia de wc'!B116)&gt;0,"sim","não")</f>
        <v>não</v>
      </c>
    </row>
    <row r="117" spans="1:11" x14ac:dyDescent="0.25">
      <c r="A117">
        <v>5160</v>
      </c>
      <c r="B117" t="s">
        <v>763</v>
      </c>
      <c r="C117" t="s">
        <v>829</v>
      </c>
      <c r="D117">
        <v>310</v>
      </c>
      <c r="E117" t="s">
        <v>880</v>
      </c>
      <c r="F117" t="s">
        <v>41</v>
      </c>
      <c r="G117">
        <v>437</v>
      </c>
      <c r="H117" t="s">
        <v>1014</v>
      </c>
      <c r="K117" t="str">
        <f>IF(COUNTIF('2_LN_DadosExportados'!$V:$V,'existencia de wc'!B117)&gt;0,"sim","não")</f>
        <v>não</v>
      </c>
    </row>
    <row r="118" spans="1:11" x14ac:dyDescent="0.25">
      <c r="A118">
        <v>5161</v>
      </c>
      <c r="B118" t="s">
        <v>1015</v>
      </c>
      <c r="C118" t="s">
        <v>829</v>
      </c>
      <c r="D118">
        <v>310</v>
      </c>
      <c r="E118" t="s">
        <v>880</v>
      </c>
      <c r="F118" t="s">
        <v>41</v>
      </c>
      <c r="G118" t="s">
        <v>839</v>
      </c>
      <c r="H118" t="s">
        <v>840</v>
      </c>
      <c r="K118" t="str">
        <f>IF(COUNTIF('2_LN_DadosExportados'!$V:$V,'existencia de wc'!B118)&gt;0,"sim","não")</f>
        <v>não</v>
      </c>
    </row>
    <row r="119" spans="1:11" x14ac:dyDescent="0.25">
      <c r="A119">
        <v>5170</v>
      </c>
      <c r="B119" t="s">
        <v>1016</v>
      </c>
      <c r="C119" t="s">
        <v>829</v>
      </c>
      <c r="D119">
        <v>310</v>
      </c>
      <c r="E119" t="s">
        <v>880</v>
      </c>
      <c r="F119" t="s">
        <v>41</v>
      </c>
      <c r="G119">
        <v>440</v>
      </c>
      <c r="H119" t="s">
        <v>1017</v>
      </c>
      <c r="K119" t="str">
        <f>IF(COUNTIF('2_LN_DadosExportados'!$V:$V,'existencia de wc'!B119)&gt;0,"sim","não")</f>
        <v>não</v>
      </c>
    </row>
    <row r="120" spans="1:11" x14ac:dyDescent="0.25">
      <c r="A120">
        <v>5180</v>
      </c>
      <c r="B120" t="s">
        <v>98</v>
      </c>
      <c r="C120" t="s">
        <v>829</v>
      </c>
      <c r="D120">
        <v>310</v>
      </c>
      <c r="E120" t="s">
        <v>880</v>
      </c>
      <c r="F120" t="s">
        <v>41</v>
      </c>
      <c r="G120">
        <v>439</v>
      </c>
      <c r="H120" t="s">
        <v>1018</v>
      </c>
      <c r="K120" t="str">
        <f>IF(COUNTIF('2_LN_DadosExportados'!$V:$V,'existencia de wc'!B120)&gt;0,"sim","não")</f>
        <v>não</v>
      </c>
    </row>
    <row r="121" spans="1:11" x14ac:dyDescent="0.25">
      <c r="A121">
        <v>5181</v>
      </c>
      <c r="B121" t="s">
        <v>766</v>
      </c>
      <c r="C121" t="s">
        <v>829</v>
      </c>
      <c r="D121">
        <v>310</v>
      </c>
      <c r="E121" t="s">
        <v>880</v>
      </c>
      <c r="F121" t="s">
        <v>41</v>
      </c>
      <c r="G121">
        <v>427</v>
      </c>
      <c r="H121" t="s">
        <v>1019</v>
      </c>
      <c r="K121" t="str">
        <f>IF(COUNTIF('2_LN_DadosExportados'!$V:$V,'existencia de wc'!B121)&gt;0,"sim","não")</f>
        <v>não</v>
      </c>
    </row>
    <row r="122" spans="1:11" x14ac:dyDescent="0.25">
      <c r="A122">
        <v>6100</v>
      </c>
      <c r="B122" t="s">
        <v>1020</v>
      </c>
      <c r="C122" t="s">
        <v>829</v>
      </c>
      <c r="D122">
        <v>310</v>
      </c>
      <c r="E122" t="s">
        <v>859</v>
      </c>
      <c r="F122" t="s">
        <v>41</v>
      </c>
      <c r="G122" t="s">
        <v>839</v>
      </c>
      <c r="H122" t="s">
        <v>840</v>
      </c>
      <c r="K122" t="str">
        <f>IF(COUNTIF('2_LN_DadosExportados'!$V:$V,'existencia de wc'!B122)&gt;0,"sim","não")</f>
        <v>não</v>
      </c>
    </row>
    <row r="123" spans="1:11" x14ac:dyDescent="0.25">
      <c r="A123">
        <v>6200</v>
      </c>
      <c r="B123" t="s">
        <v>96</v>
      </c>
      <c r="C123" t="s">
        <v>829</v>
      </c>
      <c r="D123">
        <v>310</v>
      </c>
      <c r="E123" t="s">
        <v>830</v>
      </c>
      <c r="F123" t="s">
        <v>41</v>
      </c>
      <c r="G123">
        <v>421</v>
      </c>
      <c r="H123" t="s">
        <v>1021</v>
      </c>
      <c r="K123" t="str">
        <f>IF(COUNTIF('2_LN_DadosExportados'!$V:$V,'existencia de wc'!B123)&gt;0,"sim","não")</f>
        <v>sim</v>
      </c>
    </row>
    <row r="124" spans="1:11" x14ac:dyDescent="0.25">
      <c r="A124">
        <v>6201</v>
      </c>
      <c r="B124" t="s">
        <v>769</v>
      </c>
      <c r="C124" t="s">
        <v>829</v>
      </c>
      <c r="D124">
        <v>310</v>
      </c>
      <c r="E124" t="s">
        <v>830</v>
      </c>
      <c r="F124" t="s">
        <v>41</v>
      </c>
      <c r="G124">
        <v>441</v>
      </c>
      <c r="H124" t="s">
        <v>1022</v>
      </c>
      <c r="K124" t="str">
        <f>IF(COUNTIF('2_LN_DadosExportados'!$V:$V,'existencia de wc'!B124)&gt;0,"sim","não")</f>
        <v>não</v>
      </c>
    </row>
    <row r="125" spans="1:11" x14ac:dyDescent="0.25">
      <c r="A125">
        <v>6202</v>
      </c>
      <c r="B125" t="s">
        <v>111</v>
      </c>
      <c r="C125" t="s">
        <v>829</v>
      </c>
      <c r="D125">
        <v>310</v>
      </c>
      <c r="E125" t="s">
        <v>830</v>
      </c>
      <c r="F125" t="s">
        <v>41</v>
      </c>
      <c r="G125">
        <v>442</v>
      </c>
      <c r="H125" t="s">
        <v>1023</v>
      </c>
      <c r="K125" t="str">
        <f>IF(COUNTIF('2_LN_DadosExportados'!$V:$V,'existencia de wc'!B125)&gt;0,"sim","não")</f>
        <v>não</v>
      </c>
    </row>
    <row r="126" spans="1:11" x14ac:dyDescent="0.25">
      <c r="A126">
        <v>6203</v>
      </c>
      <c r="B126" t="s">
        <v>65</v>
      </c>
      <c r="C126" t="s">
        <v>829</v>
      </c>
      <c r="D126">
        <v>310</v>
      </c>
      <c r="E126" t="s">
        <v>830</v>
      </c>
      <c r="F126" t="s">
        <v>41</v>
      </c>
      <c r="G126">
        <v>442</v>
      </c>
      <c r="H126" t="s">
        <v>1023</v>
      </c>
      <c r="K126" t="str">
        <f>IF(COUNTIF('2_LN_DadosExportados'!$V:$V,'existencia de wc'!B126)&gt;0,"sim","não")</f>
        <v>sim</v>
      </c>
    </row>
    <row r="127" spans="1:11" x14ac:dyDescent="0.25">
      <c r="A127">
        <v>6210</v>
      </c>
      <c r="B127" t="s">
        <v>107</v>
      </c>
      <c r="C127" t="s">
        <v>829</v>
      </c>
      <c r="D127">
        <v>310</v>
      </c>
      <c r="E127" t="s">
        <v>830</v>
      </c>
      <c r="F127" t="s">
        <v>41</v>
      </c>
      <c r="G127">
        <v>447</v>
      </c>
      <c r="H127" t="s">
        <v>1024</v>
      </c>
      <c r="K127" t="str">
        <f>IF(COUNTIF('2_LN_DadosExportados'!$V:$V,'existencia de wc'!B127)&gt;0,"sim","não")</f>
        <v>não</v>
      </c>
    </row>
    <row r="128" spans="1:11" x14ac:dyDescent="0.25">
      <c r="A128">
        <v>6211</v>
      </c>
      <c r="B128" t="s">
        <v>774</v>
      </c>
      <c r="C128" t="s">
        <v>829</v>
      </c>
      <c r="D128">
        <v>310</v>
      </c>
      <c r="E128" t="s">
        <v>830</v>
      </c>
      <c r="F128" t="s">
        <v>41</v>
      </c>
      <c r="G128">
        <v>428</v>
      </c>
      <c r="H128" t="s">
        <v>1001</v>
      </c>
      <c r="K128" t="str">
        <f>IF(COUNTIF('2_LN_DadosExportados'!$V:$V,'existencia de wc'!B128)&gt;0,"sim","não")</f>
        <v>não</v>
      </c>
    </row>
    <row r="129" spans="1:11" x14ac:dyDescent="0.25">
      <c r="A129">
        <v>6220</v>
      </c>
      <c r="B129" t="s">
        <v>109</v>
      </c>
      <c r="C129" t="s">
        <v>829</v>
      </c>
      <c r="D129">
        <v>310</v>
      </c>
      <c r="E129" t="s">
        <v>830</v>
      </c>
      <c r="F129" t="s">
        <v>41</v>
      </c>
      <c r="G129">
        <v>467</v>
      </c>
      <c r="H129" t="s">
        <v>1025</v>
      </c>
      <c r="K129" t="str">
        <f>IF(COUNTIF('2_LN_DadosExportados'!$V:$V,'existencia de wc'!B129)&gt;0,"sim","não")</f>
        <v>não</v>
      </c>
    </row>
    <row r="130" spans="1:11" x14ac:dyDescent="0.25">
      <c r="A130">
        <v>6300</v>
      </c>
      <c r="B130" t="s">
        <v>1026</v>
      </c>
      <c r="C130" t="s">
        <v>829</v>
      </c>
      <c r="D130">
        <v>310</v>
      </c>
      <c r="E130" t="s">
        <v>830</v>
      </c>
      <c r="F130" t="s">
        <v>41</v>
      </c>
      <c r="G130" t="s">
        <v>839</v>
      </c>
      <c r="H130" t="s">
        <v>840</v>
      </c>
      <c r="K130" t="str">
        <f>IF(COUNTIF('2_LN_DadosExportados'!$V:$V,'existencia de wc'!B130)&gt;0,"sim","não")</f>
        <v>não</v>
      </c>
    </row>
    <row r="131" spans="1:11" x14ac:dyDescent="0.25">
      <c r="A131">
        <v>6310</v>
      </c>
      <c r="B131" t="s">
        <v>1027</v>
      </c>
      <c r="C131" t="s">
        <v>829</v>
      </c>
      <c r="D131">
        <v>310</v>
      </c>
      <c r="E131" t="s">
        <v>830</v>
      </c>
      <c r="F131" t="s">
        <v>41</v>
      </c>
      <c r="G131" t="s">
        <v>839</v>
      </c>
      <c r="H131" t="s">
        <v>840</v>
      </c>
      <c r="K131" t="str">
        <f>IF(COUNTIF('2_LN_DadosExportados'!$V:$V,'existencia de wc'!B131)&gt;0,"sim","não")</f>
        <v>não</v>
      </c>
    </row>
    <row r="132" spans="1:11" x14ac:dyDescent="0.25">
      <c r="A132">
        <v>6320</v>
      </c>
      <c r="B132" t="s">
        <v>81</v>
      </c>
      <c r="C132" t="s">
        <v>829</v>
      </c>
      <c r="D132">
        <v>310</v>
      </c>
      <c r="E132" t="s">
        <v>830</v>
      </c>
      <c r="F132" t="s">
        <v>41</v>
      </c>
      <c r="G132">
        <v>444</v>
      </c>
      <c r="H132" t="s">
        <v>1028</v>
      </c>
      <c r="K132" t="str">
        <f>IF(COUNTIF('2_LN_DadosExportados'!$V:$V,'existencia de wc'!B132)&gt;0,"sim","não")</f>
        <v>não</v>
      </c>
    </row>
    <row r="133" spans="1:11" x14ac:dyDescent="0.25">
      <c r="A133">
        <v>6321</v>
      </c>
      <c r="B133" t="s">
        <v>778</v>
      </c>
      <c r="C133" t="s">
        <v>829</v>
      </c>
      <c r="D133">
        <v>310</v>
      </c>
      <c r="E133" t="s">
        <v>830</v>
      </c>
      <c r="F133" t="s">
        <v>41</v>
      </c>
      <c r="G133">
        <v>444</v>
      </c>
      <c r="H133" t="s">
        <v>1028</v>
      </c>
      <c r="K133" t="str">
        <f>IF(COUNTIF('2_LN_DadosExportados'!$V:$V,'existencia de wc'!B133)&gt;0,"sim","não")</f>
        <v>não</v>
      </c>
    </row>
    <row r="134" spans="1:11" x14ac:dyDescent="0.25">
      <c r="A134">
        <v>6322</v>
      </c>
      <c r="B134" t="s">
        <v>1029</v>
      </c>
      <c r="C134" t="s">
        <v>829</v>
      </c>
      <c r="D134">
        <v>310</v>
      </c>
      <c r="E134" t="s">
        <v>830</v>
      </c>
      <c r="F134" t="s">
        <v>41</v>
      </c>
      <c r="G134" t="s">
        <v>1030</v>
      </c>
      <c r="H134" t="s">
        <v>1031</v>
      </c>
      <c r="K134" t="str">
        <f>IF(COUNTIF('2_LN_DadosExportados'!$V:$V,'existencia de wc'!B134)&gt;0,"sim","não")</f>
        <v>não</v>
      </c>
    </row>
    <row r="135" spans="1:11" x14ac:dyDescent="0.25">
      <c r="A135">
        <v>6400</v>
      </c>
      <c r="B135" t="s">
        <v>1032</v>
      </c>
      <c r="C135" t="s">
        <v>829</v>
      </c>
      <c r="D135">
        <v>310</v>
      </c>
      <c r="E135" t="s">
        <v>830</v>
      </c>
      <c r="F135" t="s">
        <v>41</v>
      </c>
      <c r="G135" t="s">
        <v>839</v>
      </c>
      <c r="H135" t="s">
        <v>840</v>
      </c>
      <c r="K135" t="str">
        <f>IF(COUNTIF('2_LN_DadosExportados'!$V:$V,'existencia de wc'!B135)&gt;0,"sim","não")</f>
        <v>não</v>
      </c>
    </row>
    <row r="136" spans="1:11" x14ac:dyDescent="0.25">
      <c r="A136">
        <v>6401</v>
      </c>
      <c r="B136" t="s">
        <v>780</v>
      </c>
      <c r="C136" t="s">
        <v>829</v>
      </c>
      <c r="D136">
        <v>310</v>
      </c>
      <c r="E136" t="s">
        <v>830</v>
      </c>
      <c r="F136" t="s">
        <v>41</v>
      </c>
      <c r="G136">
        <v>446</v>
      </c>
      <c r="H136" t="s">
        <v>1033</v>
      </c>
      <c r="K136" t="str">
        <f>IF(COUNTIF('2_LN_DadosExportados'!$V:$V,'existencia de wc'!B136)&gt;0,"sim","não")</f>
        <v>não</v>
      </c>
    </row>
    <row r="137" spans="1:11" x14ac:dyDescent="0.25">
      <c r="A137">
        <v>6402</v>
      </c>
      <c r="B137" t="s">
        <v>1034</v>
      </c>
      <c r="C137" t="s">
        <v>829</v>
      </c>
      <c r="D137">
        <v>310</v>
      </c>
      <c r="E137" t="s">
        <v>830</v>
      </c>
      <c r="F137" t="s">
        <v>41</v>
      </c>
      <c r="G137" t="s">
        <v>839</v>
      </c>
      <c r="H137" t="s">
        <v>840</v>
      </c>
      <c r="K137" t="str">
        <f>IF(COUNTIF('2_LN_DadosExportados'!$V:$V,'existencia de wc'!B137)&gt;0,"sim","não")</f>
        <v>não</v>
      </c>
    </row>
    <row r="138" spans="1:11" x14ac:dyDescent="0.25">
      <c r="A138">
        <v>6403</v>
      </c>
      <c r="B138" t="s">
        <v>128</v>
      </c>
      <c r="C138" t="s">
        <v>829</v>
      </c>
      <c r="D138">
        <v>310</v>
      </c>
      <c r="E138" t="s">
        <v>830</v>
      </c>
      <c r="F138" t="s">
        <v>41</v>
      </c>
      <c r="G138">
        <v>445</v>
      </c>
      <c r="H138" t="s">
        <v>1035</v>
      </c>
      <c r="K138" t="str">
        <f>IF(COUNTIF('2_LN_DadosExportados'!$V:$V,'existencia de wc'!B138)&gt;0,"sim","não")</f>
        <v>não</v>
      </c>
    </row>
    <row r="139" spans="1:11" x14ac:dyDescent="0.25">
      <c r="A139">
        <v>6404</v>
      </c>
      <c r="B139" t="s">
        <v>1036</v>
      </c>
      <c r="C139" t="s">
        <v>829</v>
      </c>
      <c r="D139">
        <v>310</v>
      </c>
      <c r="E139" t="s">
        <v>830</v>
      </c>
      <c r="F139" t="s">
        <v>41</v>
      </c>
      <c r="G139" t="s">
        <v>839</v>
      </c>
      <c r="H139" t="s">
        <v>840</v>
      </c>
      <c r="K139" t="str">
        <f>IF(COUNTIF('2_LN_DadosExportados'!$V:$V,'existencia de wc'!B139)&gt;0,"sim","não")</f>
        <v>não</v>
      </c>
    </row>
    <row r="140" spans="1:11" x14ac:dyDescent="0.25">
      <c r="A140">
        <v>6410</v>
      </c>
      <c r="B140" t="s">
        <v>1037</v>
      </c>
      <c r="C140" t="s">
        <v>829</v>
      </c>
      <c r="D140">
        <v>310</v>
      </c>
      <c r="E140" t="s">
        <v>830</v>
      </c>
      <c r="F140" t="s">
        <v>41</v>
      </c>
      <c r="G140" t="s">
        <v>839</v>
      </c>
      <c r="H140" t="s">
        <v>840</v>
      </c>
      <c r="K140" t="str">
        <f>IF(COUNTIF('2_LN_DadosExportados'!$V:$V,'existencia de wc'!B140)&gt;0,"sim","não")</f>
        <v>não</v>
      </c>
    </row>
    <row r="141" spans="1:11" x14ac:dyDescent="0.25">
      <c r="A141">
        <v>6411</v>
      </c>
      <c r="B141" t="s">
        <v>1038</v>
      </c>
      <c r="C141" t="s">
        <v>829</v>
      </c>
      <c r="D141">
        <v>310</v>
      </c>
      <c r="E141" t="s">
        <v>830</v>
      </c>
      <c r="F141" t="s">
        <v>41</v>
      </c>
      <c r="G141" t="s">
        <v>839</v>
      </c>
      <c r="H141" t="s">
        <v>840</v>
      </c>
      <c r="K141" t="str">
        <f>IF(COUNTIF('2_LN_DadosExportados'!$V:$V,'existencia de wc'!B141)&gt;0,"sim","não")</f>
        <v>não</v>
      </c>
    </row>
    <row r="142" spans="1:11" x14ac:dyDescent="0.25">
      <c r="A142">
        <v>6412</v>
      </c>
      <c r="B142" t="s">
        <v>1039</v>
      </c>
      <c r="C142" t="s">
        <v>829</v>
      </c>
      <c r="D142">
        <v>310</v>
      </c>
      <c r="E142" t="s">
        <v>830</v>
      </c>
      <c r="F142" t="s">
        <v>41</v>
      </c>
      <c r="G142" t="s">
        <v>839</v>
      </c>
      <c r="H142" t="s">
        <v>840</v>
      </c>
      <c r="K142" t="str">
        <f>IF(COUNTIF('2_LN_DadosExportados'!$V:$V,'existencia de wc'!B142)&gt;0,"sim","não")</f>
        <v>não</v>
      </c>
    </row>
    <row r="143" spans="1:11" x14ac:dyDescent="0.25">
      <c r="A143">
        <v>6413</v>
      </c>
      <c r="B143" t="s">
        <v>783</v>
      </c>
      <c r="C143" t="s">
        <v>829</v>
      </c>
      <c r="D143">
        <v>310</v>
      </c>
      <c r="E143" t="s">
        <v>830</v>
      </c>
      <c r="F143" t="s">
        <v>41</v>
      </c>
      <c r="G143">
        <v>450</v>
      </c>
      <c r="H143" t="s">
        <v>1040</v>
      </c>
      <c r="K143" t="str">
        <f>IF(COUNTIF('2_LN_DadosExportados'!$V:$V,'existencia de wc'!B143)&gt;0,"sim","não")</f>
        <v>não</v>
      </c>
    </row>
    <row r="144" spans="1:11" x14ac:dyDescent="0.25">
      <c r="A144">
        <v>6414</v>
      </c>
      <c r="B144" t="s">
        <v>785</v>
      </c>
      <c r="C144" t="s">
        <v>829</v>
      </c>
      <c r="D144">
        <v>310</v>
      </c>
      <c r="E144" t="s">
        <v>830</v>
      </c>
      <c r="F144" t="s">
        <v>41</v>
      </c>
      <c r="G144">
        <v>451</v>
      </c>
      <c r="H144" t="s">
        <v>1041</v>
      </c>
      <c r="K144" t="str">
        <f>IF(COUNTIF('2_LN_DadosExportados'!$V:$V,'existencia de wc'!B144)&gt;0,"sim","não")</f>
        <v>não</v>
      </c>
    </row>
    <row r="145" spans="1:11" x14ac:dyDescent="0.25">
      <c r="A145">
        <v>6500</v>
      </c>
      <c r="B145" t="s">
        <v>1042</v>
      </c>
      <c r="C145" t="s">
        <v>829</v>
      </c>
      <c r="D145">
        <v>310</v>
      </c>
      <c r="E145" t="s">
        <v>830</v>
      </c>
      <c r="F145" t="s">
        <v>41</v>
      </c>
      <c r="G145" t="s">
        <v>839</v>
      </c>
      <c r="H145" t="s">
        <v>840</v>
      </c>
      <c r="K145" t="str">
        <f>IF(COUNTIF('2_LN_DadosExportados'!$V:$V,'existencia de wc'!B145)&gt;0,"sim","não")</f>
        <v>não</v>
      </c>
    </row>
    <row r="146" spans="1:11" x14ac:dyDescent="0.25">
      <c r="A146">
        <v>6501</v>
      </c>
      <c r="B146" t="s">
        <v>1043</v>
      </c>
      <c r="C146" t="s">
        <v>829</v>
      </c>
      <c r="D146">
        <v>310</v>
      </c>
      <c r="E146" t="s">
        <v>830</v>
      </c>
      <c r="F146" t="s">
        <v>41</v>
      </c>
      <c r="G146" t="s">
        <v>839</v>
      </c>
      <c r="H146" t="s">
        <v>840</v>
      </c>
      <c r="K146" t="str">
        <f>IF(COUNTIF('2_LN_DadosExportados'!$V:$V,'existencia de wc'!B146)&gt;0,"sim","não")</f>
        <v>não</v>
      </c>
    </row>
    <row r="147" spans="1:11" x14ac:dyDescent="0.25">
      <c r="A147">
        <v>6502</v>
      </c>
      <c r="B147" t="s">
        <v>100</v>
      </c>
      <c r="C147" t="s">
        <v>829</v>
      </c>
      <c r="D147">
        <v>310</v>
      </c>
      <c r="E147" t="s">
        <v>830</v>
      </c>
      <c r="F147" t="s">
        <v>41</v>
      </c>
      <c r="G147">
        <v>464</v>
      </c>
      <c r="H147" t="s">
        <v>831</v>
      </c>
      <c r="K147" t="str">
        <f>IF(COUNTIF('2_LN_DadosExportados'!$V:$V,'existencia de wc'!B147)&gt;0,"sim","não")</f>
        <v>não</v>
      </c>
    </row>
    <row r="148" spans="1:11" x14ac:dyDescent="0.25">
      <c r="A148">
        <v>6601</v>
      </c>
      <c r="B148" t="s">
        <v>821</v>
      </c>
      <c r="C148" t="s">
        <v>829</v>
      </c>
      <c r="D148">
        <v>310</v>
      </c>
      <c r="E148" t="s">
        <v>830</v>
      </c>
      <c r="F148" t="s">
        <v>41</v>
      </c>
      <c r="G148" t="s">
        <v>822</v>
      </c>
      <c r="H148" t="s">
        <v>832</v>
      </c>
      <c r="K148" t="str">
        <f>IF(COUNTIF('2_LN_DadosExportados'!$V:$V,'existencia de wc'!B148)&gt;0,"sim","não")</f>
        <v>não</v>
      </c>
    </row>
    <row r="149" spans="1:11" x14ac:dyDescent="0.25">
      <c r="A149">
        <v>7103</v>
      </c>
      <c r="B149" t="s">
        <v>833</v>
      </c>
      <c r="C149" t="s">
        <v>829</v>
      </c>
      <c r="D149">
        <v>310</v>
      </c>
      <c r="E149" t="s">
        <v>834</v>
      </c>
      <c r="F149" t="s">
        <v>41</v>
      </c>
      <c r="G149" t="s">
        <v>835</v>
      </c>
      <c r="H149" t="s">
        <v>836</v>
      </c>
      <c r="K149" t="str">
        <f>IF(COUNTIF('2_LN_DadosExportados'!$V:$V,'existencia de wc'!B149)&gt;0,"sim","não")</f>
        <v>não</v>
      </c>
    </row>
    <row r="150" spans="1:11" x14ac:dyDescent="0.25">
      <c r="A150">
        <v>7300</v>
      </c>
      <c r="B150" t="s">
        <v>49</v>
      </c>
      <c r="C150" t="s">
        <v>829</v>
      </c>
      <c r="D150">
        <v>310</v>
      </c>
      <c r="E150" t="s">
        <v>834</v>
      </c>
      <c r="F150" t="s">
        <v>41</v>
      </c>
      <c r="G150">
        <v>420</v>
      </c>
      <c r="H150" t="s">
        <v>837</v>
      </c>
      <c r="K150" t="str">
        <f>IF(COUNTIF('2_LN_DadosExportados'!$V:$V,'existencia de wc'!B150)&gt;0,"sim","não")</f>
        <v>sim</v>
      </c>
    </row>
    <row r="151" spans="1:11" x14ac:dyDescent="0.25">
      <c r="A151">
        <v>7301</v>
      </c>
      <c r="B151" t="s">
        <v>838</v>
      </c>
      <c r="C151" t="s">
        <v>829</v>
      </c>
      <c r="D151">
        <v>310</v>
      </c>
      <c r="E151" t="s">
        <v>834</v>
      </c>
      <c r="F151" t="s">
        <v>41</v>
      </c>
      <c r="G151" t="s">
        <v>839</v>
      </c>
      <c r="H151" t="s">
        <v>840</v>
      </c>
      <c r="K151" t="str">
        <f>IF(COUNTIF('2_LN_DadosExportados'!$V:$V,'existencia de wc'!B151)&gt;0,"sim","não")</f>
        <v>não</v>
      </c>
    </row>
    <row r="152" spans="1:11" x14ac:dyDescent="0.25">
      <c r="A152">
        <v>7400</v>
      </c>
      <c r="B152" t="s">
        <v>841</v>
      </c>
      <c r="C152" t="s">
        <v>829</v>
      </c>
      <c r="D152">
        <v>310</v>
      </c>
      <c r="E152" t="s">
        <v>834</v>
      </c>
      <c r="F152" t="s">
        <v>41</v>
      </c>
      <c r="K152" t="str">
        <f>IF(COUNTIF('2_LN_DadosExportados'!$V:$V,'existencia de wc'!B152)&gt;0,"sim","não")</f>
        <v>não</v>
      </c>
    </row>
    <row r="153" spans="1:11" x14ac:dyDescent="0.25">
      <c r="A153">
        <v>7500</v>
      </c>
      <c r="B153" t="s">
        <v>125</v>
      </c>
      <c r="C153" t="s">
        <v>829</v>
      </c>
      <c r="D153">
        <v>310</v>
      </c>
      <c r="E153" t="s">
        <v>834</v>
      </c>
      <c r="F153" t="s">
        <v>41</v>
      </c>
      <c r="G153">
        <v>449</v>
      </c>
      <c r="H153" t="s">
        <v>842</v>
      </c>
      <c r="K153" t="str">
        <f>IF(COUNTIF('2_LN_DadosExportados'!$V:$V,'existencia de wc'!B153)&gt;0,"sim","não")</f>
        <v>não</v>
      </c>
    </row>
    <row r="154" spans="1:11" x14ac:dyDescent="0.25">
      <c r="A154">
        <v>7501</v>
      </c>
      <c r="B154" t="s">
        <v>84</v>
      </c>
      <c r="C154" t="s">
        <v>829</v>
      </c>
      <c r="D154">
        <v>310</v>
      </c>
      <c r="E154" t="s">
        <v>834</v>
      </c>
      <c r="F154" t="s">
        <v>41</v>
      </c>
      <c r="G154">
        <v>449</v>
      </c>
      <c r="H154" t="s">
        <v>842</v>
      </c>
      <c r="K154" t="str">
        <f>IF(COUNTIF('2_LN_DadosExportados'!$V:$V,'existencia de wc'!B154)&gt;0,"sim","não")</f>
        <v>sim</v>
      </c>
    </row>
    <row r="155" spans="1:11" x14ac:dyDescent="0.25">
      <c r="A155">
        <v>7502</v>
      </c>
      <c r="B155" t="s">
        <v>119</v>
      </c>
      <c r="C155" t="s">
        <v>829</v>
      </c>
      <c r="D155">
        <v>310</v>
      </c>
      <c r="E155" t="s">
        <v>834</v>
      </c>
      <c r="F155" t="s">
        <v>41</v>
      </c>
      <c r="G155">
        <v>448</v>
      </c>
      <c r="H155" t="s">
        <v>843</v>
      </c>
      <c r="K155" t="str">
        <f>IF(COUNTIF('2_LN_DadosExportados'!$V:$V,'existencia de wc'!B155)&gt;0,"sim","não")</f>
        <v>não</v>
      </c>
    </row>
    <row r="156" spans="1:11" x14ac:dyDescent="0.25">
      <c r="A156">
        <v>7503</v>
      </c>
      <c r="B156" t="s">
        <v>844</v>
      </c>
      <c r="C156" t="s">
        <v>829</v>
      </c>
      <c r="D156">
        <v>310</v>
      </c>
      <c r="E156" t="s">
        <v>834</v>
      </c>
      <c r="F156" t="s">
        <v>41</v>
      </c>
      <c r="G156" t="s">
        <v>839</v>
      </c>
      <c r="H156" t="s">
        <v>840</v>
      </c>
      <c r="K156" t="str">
        <f>IF(COUNTIF('2_LN_DadosExportados'!$V:$V,'existencia de wc'!B156)&gt;0,"sim","não")</f>
        <v>não</v>
      </c>
    </row>
    <row r="157" spans="1:11" x14ac:dyDescent="0.25">
      <c r="A157">
        <v>7504</v>
      </c>
      <c r="B157" t="s">
        <v>845</v>
      </c>
      <c r="C157" t="s">
        <v>829</v>
      </c>
      <c r="D157">
        <v>310</v>
      </c>
      <c r="E157" t="s">
        <v>834</v>
      </c>
      <c r="F157" t="s">
        <v>41</v>
      </c>
      <c r="G157" t="s">
        <v>839</v>
      </c>
      <c r="H157" t="s">
        <v>840</v>
      </c>
      <c r="K157" t="str">
        <f>IF(COUNTIF('2_LN_DadosExportados'!$V:$V,'existencia de wc'!B157)&gt;0,"sim","não")</f>
        <v>não</v>
      </c>
    </row>
    <row r="158" spans="1:11" x14ac:dyDescent="0.25">
      <c r="A158">
        <v>7510</v>
      </c>
      <c r="B158" t="s">
        <v>792</v>
      </c>
      <c r="C158" t="s">
        <v>829</v>
      </c>
      <c r="D158">
        <v>310</v>
      </c>
      <c r="E158" t="s">
        <v>834</v>
      </c>
      <c r="F158" t="s">
        <v>41</v>
      </c>
      <c r="G158">
        <v>452</v>
      </c>
      <c r="H158" t="s">
        <v>846</v>
      </c>
      <c r="K158" t="str">
        <f>IF(COUNTIF('2_LN_DadosExportados'!$V:$V,'existencia de wc'!B158)&gt;0,"sim","não")</f>
        <v>não</v>
      </c>
    </row>
    <row r="159" spans="1:11" x14ac:dyDescent="0.25">
      <c r="A159">
        <v>7520</v>
      </c>
      <c r="B159" t="s">
        <v>794</v>
      </c>
      <c r="C159" t="s">
        <v>829</v>
      </c>
      <c r="D159">
        <v>310</v>
      </c>
      <c r="E159" t="s">
        <v>834</v>
      </c>
      <c r="F159" t="s">
        <v>41</v>
      </c>
      <c r="G159">
        <v>454</v>
      </c>
      <c r="H159" t="s">
        <v>847</v>
      </c>
      <c r="K159" t="str">
        <f>IF(COUNTIF('2_LN_DadosExportados'!$V:$V,'existencia de wc'!B159)&gt;0,"sim","não")</f>
        <v>não</v>
      </c>
    </row>
    <row r="160" spans="1:11" x14ac:dyDescent="0.25">
      <c r="A160">
        <v>7521</v>
      </c>
      <c r="B160" t="s">
        <v>796</v>
      </c>
      <c r="C160" t="s">
        <v>829</v>
      </c>
      <c r="D160">
        <v>310</v>
      </c>
      <c r="E160" t="s">
        <v>834</v>
      </c>
      <c r="F160" t="s">
        <v>41</v>
      </c>
      <c r="G160">
        <v>454</v>
      </c>
      <c r="H160" t="s">
        <v>847</v>
      </c>
      <c r="K160" t="str">
        <f>IF(COUNTIF('2_LN_DadosExportados'!$V:$V,'existencia de wc'!B160)&gt;0,"sim","não")</f>
        <v>não</v>
      </c>
    </row>
    <row r="161" spans="1:11" x14ac:dyDescent="0.25">
      <c r="A161">
        <v>7522</v>
      </c>
      <c r="B161" t="s">
        <v>848</v>
      </c>
      <c r="C161" t="s">
        <v>829</v>
      </c>
      <c r="D161">
        <v>310</v>
      </c>
      <c r="E161" t="s">
        <v>834</v>
      </c>
      <c r="F161" t="s">
        <v>41</v>
      </c>
      <c r="G161" t="s">
        <v>849</v>
      </c>
      <c r="H161" t="s">
        <v>850</v>
      </c>
      <c r="K161" t="str">
        <f>IF(COUNTIF('2_LN_DadosExportados'!$V:$V,'existencia de wc'!B161)&gt;0,"sim","não")</f>
        <v>não</v>
      </c>
    </row>
    <row r="162" spans="1:11" x14ac:dyDescent="0.25">
      <c r="A162">
        <v>7523</v>
      </c>
      <c r="B162" t="s">
        <v>851</v>
      </c>
      <c r="C162" t="s">
        <v>829</v>
      </c>
      <c r="D162">
        <v>310</v>
      </c>
      <c r="E162" t="s">
        <v>834</v>
      </c>
      <c r="F162" t="s">
        <v>41</v>
      </c>
      <c r="G162" t="s">
        <v>849</v>
      </c>
      <c r="H162" t="s">
        <v>850</v>
      </c>
      <c r="K162" t="str">
        <f>IF(COUNTIF('2_LN_DadosExportados'!$V:$V,'existencia de wc'!B162)&gt;0,"sim","não")</f>
        <v>não</v>
      </c>
    </row>
    <row r="163" spans="1:11" x14ac:dyDescent="0.25">
      <c r="A163">
        <v>7524</v>
      </c>
      <c r="B163" t="s">
        <v>113</v>
      </c>
      <c r="C163" t="s">
        <v>829</v>
      </c>
      <c r="D163">
        <v>310</v>
      </c>
      <c r="E163" t="s">
        <v>830</v>
      </c>
      <c r="F163" t="s">
        <v>41</v>
      </c>
      <c r="G163">
        <v>465</v>
      </c>
      <c r="H163" t="s">
        <v>852</v>
      </c>
      <c r="K163" t="str">
        <f>IF(COUNTIF('2_LN_DadosExportados'!$V:$V,'existencia de wc'!B163)&gt;0,"sim","não")</f>
        <v>não</v>
      </c>
    </row>
    <row r="164" spans="1:11" x14ac:dyDescent="0.25">
      <c r="A164">
        <v>7525</v>
      </c>
      <c r="B164" t="s">
        <v>799</v>
      </c>
      <c r="C164" t="s">
        <v>829</v>
      </c>
      <c r="D164">
        <v>310</v>
      </c>
      <c r="E164" t="s">
        <v>830</v>
      </c>
      <c r="F164" t="s">
        <v>41</v>
      </c>
      <c r="G164">
        <v>466</v>
      </c>
      <c r="H164" t="s">
        <v>853</v>
      </c>
      <c r="K164" t="str">
        <f>IF(COUNTIF('2_LN_DadosExportados'!$V:$V,'existencia de wc'!B164)&gt;0,"sim","não")</f>
        <v>não</v>
      </c>
    </row>
    <row r="165" spans="1:11" x14ac:dyDescent="0.25">
      <c r="A165">
        <v>7700</v>
      </c>
      <c r="B165" t="s">
        <v>121</v>
      </c>
      <c r="C165" t="s">
        <v>829</v>
      </c>
      <c r="D165">
        <v>310</v>
      </c>
      <c r="E165" t="s">
        <v>834</v>
      </c>
      <c r="F165" t="s">
        <v>41</v>
      </c>
      <c r="G165">
        <v>453</v>
      </c>
      <c r="H165" t="s">
        <v>854</v>
      </c>
      <c r="K165" t="str">
        <f>IF(COUNTIF('2_LN_DadosExportados'!$V:$V,'existencia de wc'!B165)&gt;0,"sim","não")</f>
        <v>não</v>
      </c>
    </row>
    <row r="166" spans="1:11" x14ac:dyDescent="0.25">
      <c r="A166">
        <v>7701</v>
      </c>
      <c r="B166" t="s">
        <v>115</v>
      </c>
      <c r="C166" t="s">
        <v>829</v>
      </c>
      <c r="D166">
        <v>310</v>
      </c>
      <c r="E166" t="s">
        <v>834</v>
      </c>
      <c r="F166" t="s">
        <v>41</v>
      </c>
      <c r="G166">
        <v>453</v>
      </c>
      <c r="H166" t="s">
        <v>854</v>
      </c>
      <c r="K166" t="str">
        <f>IF(COUNTIF('2_LN_DadosExportados'!$V:$V,'existencia de wc'!B166)&gt;0,"sim","não")</f>
        <v>não</v>
      </c>
    </row>
    <row r="167" spans="1:11" x14ac:dyDescent="0.25">
      <c r="A167">
        <v>7710</v>
      </c>
      <c r="B167" t="s">
        <v>855</v>
      </c>
      <c r="C167" t="s">
        <v>829</v>
      </c>
      <c r="D167">
        <v>310</v>
      </c>
      <c r="E167" t="s">
        <v>834</v>
      </c>
      <c r="F167" t="s">
        <v>41</v>
      </c>
      <c r="G167">
        <v>460</v>
      </c>
      <c r="H167" t="s">
        <v>856</v>
      </c>
      <c r="K167" t="str">
        <f>IF(COUNTIF('2_LN_DadosExportados'!$V:$V,'existencia de wc'!B167)&gt;0,"sim","não")</f>
        <v>não</v>
      </c>
    </row>
    <row r="168" spans="1:11" x14ac:dyDescent="0.25">
      <c r="A168">
        <v>7900</v>
      </c>
      <c r="B168" t="s">
        <v>857</v>
      </c>
      <c r="C168" t="s">
        <v>829</v>
      </c>
      <c r="D168">
        <v>310</v>
      </c>
      <c r="E168" t="s">
        <v>834</v>
      </c>
      <c r="F168" t="s">
        <v>41</v>
      </c>
      <c r="G168" t="s">
        <v>839</v>
      </c>
      <c r="H168" t="s">
        <v>840</v>
      </c>
      <c r="K168" t="str">
        <f>IF(COUNTIF('2_LN_DadosExportados'!$V:$V,'existencia de wc'!B168)&gt;0,"sim","não")</f>
        <v>não</v>
      </c>
    </row>
    <row r="169" spans="1:11" x14ac:dyDescent="0.25">
      <c r="A169">
        <v>7910</v>
      </c>
      <c r="B169" t="s">
        <v>43</v>
      </c>
      <c r="C169" t="s">
        <v>829</v>
      </c>
      <c r="D169">
        <v>310</v>
      </c>
      <c r="E169" t="s">
        <v>834</v>
      </c>
      <c r="F169" t="s">
        <v>41</v>
      </c>
      <c r="G169">
        <v>420</v>
      </c>
      <c r="H169" t="s">
        <v>837</v>
      </c>
      <c r="K169" t="str">
        <f>IF(COUNTIF('2_LN_DadosExportados'!$V:$V,'existencia de wc'!B169)&gt;0,"sim","não")</f>
        <v>não</v>
      </c>
    </row>
    <row r="170" spans="1:11" x14ac:dyDescent="0.25">
      <c r="A170">
        <v>7920</v>
      </c>
      <c r="B170" t="s">
        <v>858</v>
      </c>
      <c r="C170" t="s">
        <v>829</v>
      </c>
      <c r="D170">
        <v>310</v>
      </c>
      <c r="E170" t="s">
        <v>834</v>
      </c>
      <c r="F170" t="s">
        <v>41</v>
      </c>
      <c r="G170" t="s">
        <v>839</v>
      </c>
      <c r="H170" t="s">
        <v>840</v>
      </c>
      <c r="K170" t="str">
        <f>IF(COUNTIF('2_LN_DadosExportados'!$V:$V,'existencia de wc'!B170)&gt;0,"sim","não")</f>
        <v>não</v>
      </c>
    </row>
    <row r="171" spans="1:11" x14ac:dyDescent="0.25">
      <c r="A171">
        <v>8013</v>
      </c>
      <c r="B171" t="s">
        <v>86</v>
      </c>
      <c r="C171" t="s">
        <v>829</v>
      </c>
      <c r="D171">
        <v>310</v>
      </c>
      <c r="E171" t="s">
        <v>859</v>
      </c>
      <c r="F171" t="s">
        <v>41</v>
      </c>
      <c r="G171">
        <v>420</v>
      </c>
      <c r="H171" t="s">
        <v>837</v>
      </c>
      <c r="K171" t="str">
        <f>IF(COUNTIF('2_LN_DadosExportados'!$V:$V,'existencia de wc'!B171)&gt;0,"sim","não")</f>
        <v>sim</v>
      </c>
    </row>
    <row r="172" spans="1:11" x14ac:dyDescent="0.25">
      <c r="A172">
        <v>8101</v>
      </c>
      <c r="B172" t="s">
        <v>52</v>
      </c>
      <c r="C172" t="s">
        <v>829</v>
      </c>
      <c r="D172">
        <v>310</v>
      </c>
      <c r="E172" t="s">
        <v>834</v>
      </c>
      <c r="F172" t="s">
        <v>41</v>
      </c>
      <c r="G172">
        <v>459</v>
      </c>
      <c r="H172" t="s">
        <v>860</v>
      </c>
      <c r="K172" t="str">
        <f>IF(COUNTIF('2_LN_DadosExportados'!$V:$V,'existencia de wc'!B172)&gt;0,"sim","não")</f>
        <v>sim</v>
      </c>
    </row>
    <row r="173" spans="1:11" x14ac:dyDescent="0.25">
      <c r="A173">
        <v>8108</v>
      </c>
      <c r="B173" t="s">
        <v>861</v>
      </c>
      <c r="C173" t="s">
        <v>829</v>
      </c>
      <c r="D173">
        <v>310</v>
      </c>
      <c r="E173" t="s">
        <v>834</v>
      </c>
      <c r="F173" t="s">
        <v>41</v>
      </c>
      <c r="G173" t="s">
        <v>839</v>
      </c>
      <c r="H173" t="s">
        <v>840</v>
      </c>
      <c r="K173" t="str">
        <f>IF(COUNTIF('2_LN_DadosExportados'!$V:$V,'existencia de wc'!B173)&gt;0,"sim","não")</f>
        <v>não</v>
      </c>
    </row>
    <row r="174" spans="1:11" x14ac:dyDescent="0.25">
      <c r="A174">
        <v>8205</v>
      </c>
      <c r="B174" t="s">
        <v>56</v>
      </c>
      <c r="C174" t="s">
        <v>862</v>
      </c>
      <c r="D174">
        <v>310</v>
      </c>
      <c r="F174" t="s">
        <v>41</v>
      </c>
      <c r="G174">
        <v>420</v>
      </c>
      <c r="H174" t="s">
        <v>837</v>
      </c>
      <c r="K174" t="str">
        <f>IF(COUNTIF('2_LN_DadosExportados'!$V:$V,'existencia de wc'!B174)&gt;0,"sim","não")</f>
        <v>sim</v>
      </c>
    </row>
    <row r="175" spans="1:11" x14ac:dyDescent="0.25">
      <c r="A175">
        <v>8301</v>
      </c>
      <c r="B175" t="s">
        <v>863</v>
      </c>
      <c r="C175" t="s">
        <v>829</v>
      </c>
      <c r="D175">
        <v>310</v>
      </c>
      <c r="E175" t="s">
        <v>834</v>
      </c>
      <c r="F175" t="s">
        <v>41</v>
      </c>
      <c r="G175" t="s">
        <v>839</v>
      </c>
      <c r="H175" t="s">
        <v>840</v>
      </c>
      <c r="K175" t="str">
        <f>IF(COUNTIF('2_LN_DadosExportados'!$V:$V,'existencia de wc'!B175)&gt;0,"sim","não")</f>
        <v>não</v>
      </c>
    </row>
    <row r="176" spans="1:11" x14ac:dyDescent="0.25">
      <c r="A176">
        <v>8302</v>
      </c>
      <c r="B176" t="s">
        <v>68</v>
      </c>
      <c r="C176" t="s">
        <v>829</v>
      </c>
      <c r="D176">
        <v>310</v>
      </c>
      <c r="E176" t="s">
        <v>834</v>
      </c>
      <c r="F176" t="s">
        <v>41</v>
      </c>
      <c r="G176">
        <v>525</v>
      </c>
      <c r="H176" t="s">
        <v>864</v>
      </c>
      <c r="K176" t="str">
        <f>IF(COUNTIF('2_LN_DadosExportados'!$V:$V,'existencia de wc'!B176)&gt;0,"sim","não")</f>
        <v>sim</v>
      </c>
    </row>
    <row r="177" spans="1:11" x14ac:dyDescent="0.25">
      <c r="A177">
        <v>8311</v>
      </c>
      <c r="B177" t="s">
        <v>865</v>
      </c>
      <c r="C177" t="s">
        <v>829</v>
      </c>
      <c r="D177">
        <v>310</v>
      </c>
      <c r="E177" t="s">
        <v>834</v>
      </c>
      <c r="F177" t="s">
        <v>41</v>
      </c>
      <c r="G177">
        <v>455</v>
      </c>
      <c r="H177" t="s">
        <v>866</v>
      </c>
      <c r="K177" t="str">
        <f>IF(COUNTIF('2_LN_DadosExportados'!$V:$V,'existencia de wc'!B177)&gt;0,"sim","não")</f>
        <v>não</v>
      </c>
    </row>
    <row r="178" spans="1:11" x14ac:dyDescent="0.25">
      <c r="A178">
        <v>8401</v>
      </c>
      <c r="B178" t="s">
        <v>62</v>
      </c>
      <c r="C178" t="s">
        <v>829</v>
      </c>
      <c r="D178">
        <v>310</v>
      </c>
      <c r="E178" t="s">
        <v>834</v>
      </c>
      <c r="F178" t="s">
        <v>41</v>
      </c>
      <c r="G178">
        <v>525</v>
      </c>
      <c r="H178" t="s">
        <v>864</v>
      </c>
      <c r="K178" t="str">
        <f>IF(COUNTIF('2_LN_DadosExportados'!$V:$V,'existencia de wc'!B178)&gt;0,"sim","não")</f>
        <v>sim</v>
      </c>
    </row>
    <row r="179" spans="1:11" x14ac:dyDescent="0.25">
      <c r="A179">
        <v>8402</v>
      </c>
      <c r="B179" t="s">
        <v>867</v>
      </c>
      <c r="C179" t="s">
        <v>829</v>
      </c>
      <c r="D179">
        <v>310</v>
      </c>
      <c r="E179" t="s">
        <v>834</v>
      </c>
      <c r="F179" t="s">
        <v>41</v>
      </c>
      <c r="G179" t="s">
        <v>839</v>
      </c>
      <c r="H179" t="s">
        <v>840</v>
      </c>
      <c r="K179" t="str">
        <f>IF(COUNTIF('2_LN_DadosExportados'!$V:$V,'existencia de wc'!B179)&gt;0,"sim","não")</f>
        <v>não</v>
      </c>
    </row>
    <row r="180" spans="1:11" x14ac:dyDescent="0.25">
      <c r="A180">
        <v>8404</v>
      </c>
      <c r="B180" t="s">
        <v>808</v>
      </c>
      <c r="C180" t="s">
        <v>829</v>
      </c>
      <c r="D180">
        <v>310</v>
      </c>
      <c r="E180" t="s">
        <v>834</v>
      </c>
      <c r="F180" t="s">
        <v>41</v>
      </c>
      <c r="G180">
        <v>457</v>
      </c>
      <c r="H180" t="s">
        <v>868</v>
      </c>
      <c r="K180" t="str">
        <f>IF(COUNTIF('2_LN_DadosExportados'!$V:$V,'existencia de wc'!B180)&gt;0,"sim","não")</f>
        <v>não</v>
      </c>
    </row>
    <row r="181" spans="1:11" x14ac:dyDescent="0.25">
      <c r="A181">
        <v>8408</v>
      </c>
      <c r="B181" t="s">
        <v>869</v>
      </c>
      <c r="C181" t="s">
        <v>829</v>
      </c>
      <c r="D181">
        <v>310</v>
      </c>
      <c r="E181" t="s">
        <v>834</v>
      </c>
      <c r="F181" t="s">
        <v>41</v>
      </c>
      <c r="G181" t="s">
        <v>839</v>
      </c>
      <c r="H181" t="s">
        <v>840</v>
      </c>
      <c r="K181" t="str">
        <f>IF(COUNTIF('2_LN_DadosExportados'!$V:$V,'existencia de wc'!B181)&gt;0,"sim","não")</f>
        <v>não</v>
      </c>
    </row>
    <row r="182" spans="1:11" x14ac:dyDescent="0.25">
      <c r="A182">
        <v>8414</v>
      </c>
      <c r="B182" t="s">
        <v>75</v>
      </c>
      <c r="C182" t="s">
        <v>829</v>
      </c>
      <c r="D182">
        <v>310</v>
      </c>
      <c r="E182" t="s">
        <v>834</v>
      </c>
      <c r="F182" t="s">
        <v>41</v>
      </c>
      <c r="G182">
        <v>458</v>
      </c>
      <c r="H182" t="s">
        <v>870</v>
      </c>
      <c r="K182" t="str">
        <f>IF(COUNTIF('2_LN_DadosExportados'!$V:$V,'existencia de wc'!B182)&gt;0,"sim","não")</f>
        <v>sim</v>
      </c>
    </row>
    <row r="183" spans="1:11" x14ac:dyDescent="0.25">
      <c r="A183" t="s">
        <v>871</v>
      </c>
      <c r="B183" t="s">
        <v>811</v>
      </c>
      <c r="C183" t="s">
        <v>862</v>
      </c>
      <c r="D183">
        <v>310</v>
      </c>
      <c r="F183" t="s">
        <v>41</v>
      </c>
      <c r="G183" t="s">
        <v>839</v>
      </c>
      <c r="H183" t="s">
        <v>840</v>
      </c>
      <c r="K183" t="str">
        <f>IF(COUNTIF('2_LN_DadosExportados'!$V:$V,'existencia de wc'!B183)&gt;0,"sim","não")</f>
        <v>não</v>
      </c>
    </row>
    <row r="184" spans="1:11" x14ac:dyDescent="0.25">
      <c r="A184" t="s">
        <v>839</v>
      </c>
      <c r="B184" t="s">
        <v>840</v>
      </c>
      <c r="C184" t="s">
        <v>862</v>
      </c>
      <c r="D184">
        <v>310</v>
      </c>
      <c r="F184" t="s">
        <v>41</v>
      </c>
      <c r="G184" t="s">
        <v>839</v>
      </c>
      <c r="H184" t="s">
        <v>840</v>
      </c>
      <c r="K184" t="str">
        <f>IF(COUNTIF('2_LN_DadosExportados'!$V:$V,'existencia de wc'!B184)&gt;0,"sim","não")</f>
        <v>não</v>
      </c>
    </row>
    <row r="185" spans="1:11" x14ac:dyDescent="0.25">
      <c r="A185" t="s">
        <v>859</v>
      </c>
      <c r="B185" t="s">
        <v>872</v>
      </c>
      <c r="C185" t="s">
        <v>862</v>
      </c>
      <c r="D185">
        <v>310</v>
      </c>
      <c r="F185" t="s">
        <v>42</v>
      </c>
      <c r="G185">
        <v>150</v>
      </c>
      <c r="H185" t="s">
        <v>873</v>
      </c>
      <c r="K185" t="str">
        <f>IF(COUNTIF('2_LN_DadosExportados'!$V:$V,'existencia de wc'!B185)&gt;0,"sim","não")</f>
        <v>não</v>
      </c>
    </row>
    <row r="186" spans="1:11" x14ac:dyDescent="0.25">
      <c r="A186" t="s">
        <v>874</v>
      </c>
      <c r="B186" t="s">
        <v>875</v>
      </c>
      <c r="C186" t="s">
        <v>862</v>
      </c>
      <c r="D186">
        <v>310</v>
      </c>
      <c r="F186" t="s">
        <v>42</v>
      </c>
      <c r="G186">
        <v>2100</v>
      </c>
      <c r="H186" t="s">
        <v>876</v>
      </c>
      <c r="K186" t="str">
        <f>IF(COUNTIF('2_LN_DadosExportados'!$V:$V,'existencia de wc'!B186)&gt;0,"sim","não")</f>
        <v>não</v>
      </c>
    </row>
    <row r="187" spans="1:11" x14ac:dyDescent="0.25">
      <c r="A187" t="s">
        <v>877</v>
      </c>
      <c r="B187" t="s">
        <v>878</v>
      </c>
      <c r="C187" t="s">
        <v>862</v>
      </c>
      <c r="D187">
        <v>310</v>
      </c>
      <c r="F187" t="s">
        <v>42</v>
      </c>
      <c r="G187">
        <v>3100</v>
      </c>
      <c r="H187" t="s">
        <v>879</v>
      </c>
      <c r="K187" t="str">
        <f>IF(COUNTIF('2_LN_DadosExportados'!$V:$V,'existencia de wc'!B187)&gt;0,"sim","não")</f>
        <v>não</v>
      </c>
    </row>
    <row r="188" spans="1:11" x14ac:dyDescent="0.25">
      <c r="A188" t="s">
        <v>880</v>
      </c>
      <c r="B188" t="s">
        <v>881</v>
      </c>
      <c r="C188" t="s">
        <v>862</v>
      </c>
      <c r="D188">
        <v>310</v>
      </c>
      <c r="F188" t="s">
        <v>42</v>
      </c>
      <c r="G188">
        <v>5100</v>
      </c>
      <c r="H188" t="s">
        <v>882</v>
      </c>
      <c r="K188" t="str">
        <f>IF(COUNTIF('2_LN_DadosExportados'!$V:$V,'existencia de wc'!B188)&gt;0,"sim","não")</f>
        <v>não</v>
      </c>
    </row>
    <row r="189" spans="1:11" x14ac:dyDescent="0.25">
      <c r="A189" t="s">
        <v>830</v>
      </c>
      <c r="B189" t="s">
        <v>883</v>
      </c>
      <c r="C189" t="s">
        <v>862</v>
      </c>
      <c r="D189">
        <v>310</v>
      </c>
      <c r="F189" t="s">
        <v>42</v>
      </c>
      <c r="G189">
        <v>6100</v>
      </c>
      <c r="H189" t="s">
        <v>884</v>
      </c>
      <c r="K189" t="str">
        <f>IF(COUNTIF('2_LN_DadosExportados'!$V:$V,'existencia de wc'!B189)&gt;0,"sim","não")</f>
        <v>não</v>
      </c>
    </row>
    <row r="190" spans="1:11" x14ac:dyDescent="0.25">
      <c r="A190" t="s">
        <v>834</v>
      </c>
      <c r="B190" t="s">
        <v>885</v>
      </c>
      <c r="C190" t="s">
        <v>862</v>
      </c>
      <c r="D190">
        <v>310</v>
      </c>
      <c r="F190" t="s">
        <v>42</v>
      </c>
      <c r="G190">
        <v>7300</v>
      </c>
      <c r="H190" t="s">
        <v>886</v>
      </c>
      <c r="K190" t="str">
        <f>IF(COUNTIF('2_LN_DadosExportados'!$V:$V,'existencia de wc'!B190)&gt;0,"sim","não")</f>
        <v>não</v>
      </c>
    </row>
    <row r="191" spans="1:11" x14ac:dyDescent="0.25">
      <c r="A191" t="s">
        <v>887</v>
      </c>
      <c r="B191" t="s">
        <v>888</v>
      </c>
      <c r="C191" t="s">
        <v>862</v>
      </c>
      <c r="D191">
        <v>310</v>
      </c>
      <c r="F191" t="s">
        <v>41</v>
      </c>
      <c r="G191" t="s">
        <v>889</v>
      </c>
      <c r="H191" t="s">
        <v>890</v>
      </c>
      <c r="K191" t="str">
        <f>IF(COUNTIF('2_LN_DadosExportados'!$V:$V,'existencia de wc'!B191)&gt;0,"sim","não")</f>
        <v>não</v>
      </c>
    </row>
    <row r="192" spans="1:11" x14ac:dyDescent="0.25">
      <c r="A192" t="s">
        <v>891</v>
      </c>
      <c r="B192" t="s">
        <v>892</v>
      </c>
      <c r="C192" t="s">
        <v>862</v>
      </c>
      <c r="D192">
        <v>310</v>
      </c>
      <c r="F192" t="s">
        <v>41</v>
      </c>
      <c r="G192" t="s">
        <v>889</v>
      </c>
      <c r="H192" t="s">
        <v>890</v>
      </c>
      <c r="K192" t="str">
        <f>IF(COUNTIF('2_LN_DadosExportados'!$V:$V,'existencia de wc'!B192)&gt;0,"sim","não")</f>
        <v>não</v>
      </c>
    </row>
    <row r="193" spans="11:11" x14ac:dyDescent="0.25">
      <c r="K193" t="str">
        <f>IF(COUNTIF('2_LN_DadosExportados'!$V:$V,'existencia de wc'!B193)&gt;0,"sim","não")</f>
        <v>não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0633-F99F-4231-AD2D-17EE31D6BB25}">
  <dimension ref="B1:B13"/>
  <sheetViews>
    <sheetView workbookViewId="0">
      <selection activeCell="E8" sqref="E7:E8"/>
    </sheetView>
  </sheetViews>
  <sheetFormatPr defaultRowHeight="15" x14ac:dyDescent="0.25"/>
  <cols>
    <col min="2" max="2" width="18.5703125" bestFit="1" customWidth="1"/>
  </cols>
  <sheetData>
    <row r="1" spans="2:2" x14ac:dyDescent="0.25">
      <c r="B1" t="s">
        <v>11</v>
      </c>
    </row>
    <row r="3" spans="2:2" x14ac:dyDescent="0.25">
      <c r="B3" s="1" t="s">
        <v>10</v>
      </c>
    </row>
    <row r="4" spans="2:2" x14ac:dyDescent="0.25">
      <c r="B4" s="2">
        <v>106769</v>
      </c>
    </row>
    <row r="5" spans="2:2" x14ac:dyDescent="0.25">
      <c r="B5" s="2">
        <v>113381</v>
      </c>
    </row>
    <row r="6" spans="2:2" x14ac:dyDescent="0.25">
      <c r="B6" s="2">
        <v>113583</v>
      </c>
    </row>
    <row r="7" spans="2:2" x14ac:dyDescent="0.25">
      <c r="B7" s="2">
        <v>113581</v>
      </c>
    </row>
    <row r="8" spans="2:2" x14ac:dyDescent="0.25">
      <c r="B8" s="2">
        <v>113636</v>
      </c>
    </row>
    <row r="9" spans="2:2" x14ac:dyDescent="0.25">
      <c r="B9" s="2">
        <v>107959</v>
      </c>
    </row>
    <row r="10" spans="2:2" x14ac:dyDescent="0.25">
      <c r="B10" s="2">
        <v>112516</v>
      </c>
    </row>
    <row r="11" spans="2:2" x14ac:dyDescent="0.25">
      <c r="B11" s="2">
        <v>112515</v>
      </c>
    </row>
    <row r="12" spans="2:2" x14ac:dyDescent="0.25">
      <c r="B12" s="2">
        <v>113466</v>
      </c>
    </row>
    <row r="13" spans="2:2" x14ac:dyDescent="0.25">
      <c r="B13" s="2">
        <v>113260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C6EB-9FE3-4F52-B521-EE3301D5118B}">
  <sheetPr filterMode="1"/>
  <dimension ref="B2:D29"/>
  <sheetViews>
    <sheetView zoomScale="108" zoomScaleNormal="108" workbookViewId="0">
      <selection activeCell="H55" sqref="H55"/>
    </sheetView>
  </sheetViews>
  <sheetFormatPr defaultRowHeight="15" x14ac:dyDescent="0.25"/>
  <cols>
    <col min="3" max="3" width="35.42578125" bestFit="1" customWidth="1"/>
  </cols>
  <sheetData>
    <row r="2" spans="2:4" x14ac:dyDescent="0.25">
      <c r="B2" s="2" t="s">
        <v>24</v>
      </c>
      <c r="C2" s="2" t="s">
        <v>13</v>
      </c>
      <c r="D2" s="2"/>
    </row>
    <row r="3" spans="2:4" hidden="1" x14ac:dyDescent="0.25">
      <c r="B3" s="86">
        <v>1434</v>
      </c>
      <c r="C3" s="86" t="s">
        <v>47</v>
      </c>
      <c r="D3" s="2"/>
    </row>
    <row r="4" spans="2:4" hidden="1" x14ac:dyDescent="0.25">
      <c r="B4" s="2">
        <v>2201</v>
      </c>
      <c r="C4" s="2" t="s">
        <v>50</v>
      </c>
      <c r="D4" s="2"/>
    </row>
    <row r="5" spans="2:4" hidden="1" x14ac:dyDescent="0.25">
      <c r="B5" s="2">
        <v>2783</v>
      </c>
      <c r="C5" s="2" t="s">
        <v>66</v>
      </c>
      <c r="D5" s="2"/>
    </row>
    <row r="6" spans="2:4" hidden="1" x14ac:dyDescent="0.25">
      <c r="B6" s="86">
        <v>1993</v>
      </c>
      <c r="C6" s="86" t="s">
        <v>92</v>
      </c>
      <c r="D6" s="2"/>
    </row>
    <row r="7" spans="2:4" hidden="1" x14ac:dyDescent="0.25">
      <c r="B7" s="86">
        <v>2264</v>
      </c>
      <c r="C7" s="86" t="s">
        <v>80</v>
      </c>
      <c r="D7" s="2"/>
    </row>
    <row r="8" spans="2:4" x14ac:dyDescent="0.25">
      <c r="B8" s="2">
        <v>11</v>
      </c>
      <c r="C8" s="2" t="s">
        <v>94</v>
      </c>
      <c r="D8" s="2"/>
    </row>
    <row r="9" spans="2:4" hidden="1" x14ac:dyDescent="0.25">
      <c r="B9" s="2">
        <v>2029</v>
      </c>
      <c r="C9" s="2" t="s">
        <v>95</v>
      </c>
      <c r="D9" s="2"/>
    </row>
    <row r="10" spans="2:4" hidden="1" x14ac:dyDescent="0.25">
      <c r="B10" s="2">
        <v>33</v>
      </c>
      <c r="C10" s="2" t="s">
        <v>97</v>
      </c>
      <c r="D10" s="2"/>
    </row>
    <row r="11" spans="2:4" hidden="1" x14ac:dyDescent="0.25">
      <c r="B11" s="86">
        <v>21</v>
      </c>
      <c r="C11" s="86" t="s">
        <v>91</v>
      </c>
      <c r="D11" s="2"/>
    </row>
    <row r="12" spans="2:4" hidden="1" x14ac:dyDescent="0.25">
      <c r="B12" s="2">
        <v>2268</v>
      </c>
      <c r="C12" s="2" t="s">
        <v>99</v>
      </c>
      <c r="D12" s="2"/>
    </row>
    <row r="13" spans="2:4" hidden="1" x14ac:dyDescent="0.25">
      <c r="B13" s="2">
        <v>2876</v>
      </c>
      <c r="C13" s="2" t="s">
        <v>101</v>
      </c>
      <c r="D13" s="2"/>
    </row>
    <row r="14" spans="2:4" hidden="1" x14ac:dyDescent="0.25">
      <c r="B14" s="2">
        <v>31</v>
      </c>
      <c r="C14" s="2" t="s">
        <v>103</v>
      </c>
      <c r="D14" s="2"/>
    </row>
    <row r="15" spans="2:4" hidden="1" x14ac:dyDescent="0.25">
      <c r="B15" s="86">
        <v>2642</v>
      </c>
      <c r="C15" s="86" t="s">
        <v>89</v>
      </c>
      <c r="D15" s="2"/>
    </row>
    <row r="16" spans="2:4" hidden="1" x14ac:dyDescent="0.25">
      <c r="B16" s="2">
        <v>2674</v>
      </c>
      <c r="C16" s="2" t="s">
        <v>108</v>
      </c>
      <c r="D16" s="2"/>
    </row>
    <row r="17" spans="2:4" hidden="1" x14ac:dyDescent="0.25">
      <c r="B17" s="2">
        <v>2860</v>
      </c>
      <c r="C17" s="2" t="s">
        <v>110</v>
      </c>
      <c r="D17" s="2"/>
    </row>
    <row r="18" spans="2:4" hidden="1" x14ac:dyDescent="0.25">
      <c r="B18" s="2">
        <v>2712</v>
      </c>
      <c r="C18" s="2" t="s">
        <v>82</v>
      </c>
      <c r="D18" s="2"/>
    </row>
    <row r="19" spans="2:4" hidden="1" x14ac:dyDescent="0.25">
      <c r="B19" s="2">
        <v>2777</v>
      </c>
      <c r="C19" s="2" t="s">
        <v>112</v>
      </c>
      <c r="D19" s="2"/>
    </row>
    <row r="20" spans="2:4" hidden="1" x14ac:dyDescent="0.25">
      <c r="B20" s="2">
        <v>2831</v>
      </c>
      <c r="C20" s="2" t="s">
        <v>114</v>
      </c>
      <c r="D20" s="2"/>
    </row>
    <row r="21" spans="2:4" hidden="1" x14ac:dyDescent="0.25">
      <c r="B21" s="2">
        <v>2789</v>
      </c>
      <c r="C21" s="2" t="s">
        <v>116</v>
      </c>
      <c r="D21" s="2"/>
    </row>
    <row r="22" spans="2:4" hidden="1" x14ac:dyDescent="0.25">
      <c r="B22" s="86">
        <v>7</v>
      </c>
      <c r="C22" s="86" t="s">
        <v>117</v>
      </c>
      <c r="D22" s="2"/>
    </row>
    <row r="23" spans="2:4" hidden="1" x14ac:dyDescent="0.25">
      <c r="B23" s="2">
        <v>608</v>
      </c>
      <c r="C23" s="2" t="s">
        <v>118</v>
      </c>
      <c r="D23" s="2"/>
    </row>
    <row r="24" spans="2:4" x14ac:dyDescent="0.25">
      <c r="B24" s="2">
        <v>2643</v>
      </c>
      <c r="C24" s="2" t="s">
        <v>120</v>
      </c>
      <c r="D24" s="2"/>
    </row>
    <row r="25" spans="2:4" hidden="1" x14ac:dyDescent="0.25">
      <c r="B25" s="2">
        <v>2874</v>
      </c>
      <c r="C25" s="2" t="s">
        <v>122</v>
      </c>
      <c r="D25" s="2"/>
    </row>
    <row r="26" spans="2:4" hidden="1" x14ac:dyDescent="0.25">
      <c r="B26" s="2">
        <v>1435</v>
      </c>
      <c r="C26" s="2" t="s">
        <v>124</v>
      </c>
      <c r="D26" s="2"/>
    </row>
    <row r="27" spans="2:4" x14ac:dyDescent="0.25">
      <c r="B27" s="2">
        <v>261</v>
      </c>
      <c r="C27" s="2" t="s">
        <v>126</v>
      </c>
      <c r="D27" s="2"/>
    </row>
    <row r="28" spans="2:4" hidden="1" x14ac:dyDescent="0.25">
      <c r="B28" s="2">
        <v>1708</v>
      </c>
      <c r="C28" s="2" t="s">
        <v>127</v>
      </c>
    </row>
    <row r="29" spans="2:4" hidden="1" x14ac:dyDescent="0.25">
      <c r="B29" s="2">
        <v>2444</v>
      </c>
      <c r="C29" s="2" t="s">
        <v>129</v>
      </c>
    </row>
  </sheetData>
  <autoFilter ref="B2:C29" xr:uid="{0E74C6EB-9FE3-4F52-B521-EE3301D5118B}">
    <filterColumn colId="1">
      <filters>
        <filter val="Vib Rosler 1"/>
        <filter val="Vib Spiratron 1"/>
        <filter val="Vib Total Finish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D4E6-39D5-4BC1-8607-CEFA6F35FE0D}">
  <dimension ref="A1:BG30"/>
  <sheetViews>
    <sheetView workbookViewId="0">
      <selection activeCell="K32" sqref="K32"/>
    </sheetView>
  </sheetViews>
  <sheetFormatPr defaultRowHeight="15" x14ac:dyDescent="0.25"/>
  <cols>
    <col min="1" max="1" width="16.42578125" bestFit="1" customWidth="1"/>
    <col min="2" max="2" width="25" bestFit="1" customWidth="1"/>
    <col min="3" max="3" width="22.5703125" bestFit="1" customWidth="1"/>
    <col min="4" max="4" width="7.85546875" bestFit="1" customWidth="1"/>
    <col min="5" max="5" width="15.140625" bestFit="1" customWidth="1"/>
    <col min="6" max="6" width="18.85546875" bestFit="1" customWidth="1"/>
    <col min="7" max="8" width="5.5703125" bestFit="1" customWidth="1"/>
    <col min="9" max="9" width="16.28515625" bestFit="1" customWidth="1"/>
    <col min="10" max="15" width="6.28515625" bestFit="1" customWidth="1"/>
    <col min="16" max="16" width="15.140625" hidden="1" customWidth="1"/>
    <col min="17" max="17" width="13.85546875" hidden="1" customWidth="1"/>
    <col min="18" max="23" width="7.42578125" hidden="1" customWidth="1"/>
    <col min="24" max="35" width="6.28515625" hidden="1" customWidth="1"/>
    <col min="36" max="41" width="7.42578125" bestFit="1" customWidth="1"/>
    <col min="42" max="53" width="10.28515625" bestFit="1" customWidth="1"/>
    <col min="54" max="59" width="12.5703125" bestFit="1" customWidth="1"/>
  </cols>
  <sheetData>
    <row r="1" spans="1:59" ht="15.75" thickBot="1" x14ac:dyDescent="0.3">
      <c r="A1" s="197"/>
      <c r="B1" s="199"/>
      <c r="C1" s="197" t="s">
        <v>130</v>
      </c>
      <c r="D1" s="198"/>
      <c r="E1" s="198"/>
      <c r="F1" s="198"/>
      <c r="G1" s="198"/>
      <c r="H1" s="199"/>
      <c r="I1" s="7" t="s">
        <v>175</v>
      </c>
      <c r="J1" s="197" t="s">
        <v>176</v>
      </c>
      <c r="K1" s="198"/>
      <c r="L1" s="198"/>
      <c r="M1" s="198"/>
      <c r="N1" s="198"/>
      <c r="O1" s="199"/>
      <c r="P1" s="197" t="s">
        <v>133</v>
      </c>
      <c r="Q1" s="199"/>
      <c r="R1" s="197" t="s">
        <v>134</v>
      </c>
      <c r="S1" s="198"/>
      <c r="T1" s="198"/>
      <c r="U1" s="198"/>
      <c r="V1" s="198"/>
      <c r="W1" s="199"/>
      <c r="X1" s="197" t="s">
        <v>135</v>
      </c>
      <c r="Y1" s="198"/>
      <c r="Z1" s="198"/>
      <c r="AA1" s="198"/>
      <c r="AB1" s="198"/>
      <c r="AC1" s="199"/>
      <c r="AD1" s="197" t="s">
        <v>136</v>
      </c>
      <c r="AE1" s="198"/>
      <c r="AF1" s="198"/>
      <c r="AG1" s="198"/>
      <c r="AH1" s="198"/>
      <c r="AI1" s="199"/>
      <c r="AJ1" s="197" t="s">
        <v>177</v>
      </c>
      <c r="AK1" s="198"/>
      <c r="AL1" s="198"/>
      <c r="AM1" s="198"/>
      <c r="AN1" s="198"/>
      <c r="AO1" s="199"/>
      <c r="AP1" s="197" t="s">
        <v>138</v>
      </c>
      <c r="AQ1" s="198"/>
      <c r="AR1" s="198"/>
      <c r="AS1" s="198"/>
      <c r="AT1" s="198"/>
      <c r="AU1" s="199"/>
      <c r="AV1" s="197" t="s">
        <v>139</v>
      </c>
      <c r="AW1" s="198"/>
      <c r="AX1" s="198"/>
      <c r="AY1" s="198"/>
      <c r="AZ1" s="198"/>
      <c r="BA1" s="199"/>
      <c r="BB1" s="197" t="s">
        <v>140</v>
      </c>
      <c r="BC1" s="198"/>
      <c r="BD1" s="198"/>
      <c r="BE1" s="198"/>
      <c r="BF1" s="198"/>
      <c r="BG1" s="199"/>
    </row>
    <row r="2" spans="1:59" ht="15.75" thickBot="1" x14ac:dyDescent="0.3">
      <c r="A2" s="7" t="s">
        <v>141</v>
      </c>
      <c r="B2" s="7" t="s">
        <v>142</v>
      </c>
      <c r="C2" s="7">
        <v>2025</v>
      </c>
      <c r="D2" s="7">
        <v>2026</v>
      </c>
      <c r="E2" s="7">
        <v>2027</v>
      </c>
      <c r="F2" s="7">
        <v>2028</v>
      </c>
      <c r="G2" s="7">
        <v>2029</v>
      </c>
      <c r="H2" s="7">
        <v>2030</v>
      </c>
      <c r="I2" s="7" t="s">
        <v>143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 t="s">
        <v>144</v>
      </c>
      <c r="Q2" s="7" t="s">
        <v>145</v>
      </c>
      <c r="R2" s="7">
        <v>2025</v>
      </c>
      <c r="S2" s="7">
        <v>2026</v>
      </c>
      <c r="T2" s="7">
        <v>2027</v>
      </c>
      <c r="U2" s="7">
        <v>2028</v>
      </c>
      <c r="V2" s="7">
        <v>2029</v>
      </c>
      <c r="W2" s="7">
        <v>2030</v>
      </c>
      <c r="X2" s="7">
        <v>2025</v>
      </c>
      <c r="Y2" s="7">
        <v>2026</v>
      </c>
      <c r="Z2" s="7">
        <v>2027</v>
      </c>
      <c r="AA2" s="7">
        <v>2028</v>
      </c>
      <c r="AB2" s="7">
        <v>2029</v>
      </c>
      <c r="AC2" s="7">
        <v>2030</v>
      </c>
      <c r="AD2" s="7">
        <v>2025</v>
      </c>
      <c r="AE2" s="7">
        <v>2026</v>
      </c>
      <c r="AF2" s="7">
        <v>2027</v>
      </c>
      <c r="AG2" s="7">
        <v>2028</v>
      </c>
      <c r="AH2" s="7">
        <v>2029</v>
      </c>
      <c r="AI2" s="7">
        <v>2030</v>
      </c>
      <c r="AJ2" s="7">
        <v>2025</v>
      </c>
      <c r="AK2" s="7">
        <v>2026</v>
      </c>
      <c r="AL2" s="7">
        <v>2027</v>
      </c>
      <c r="AM2" s="7">
        <v>2028</v>
      </c>
      <c r="AN2" s="7">
        <v>2029</v>
      </c>
      <c r="AO2" s="7">
        <v>2030</v>
      </c>
      <c r="AP2" s="7">
        <v>2025</v>
      </c>
      <c r="AQ2" s="7">
        <v>2026</v>
      </c>
      <c r="AR2" s="7">
        <v>2027</v>
      </c>
      <c r="AS2" s="7">
        <v>2028</v>
      </c>
      <c r="AT2" s="7">
        <v>2029</v>
      </c>
      <c r="AU2" s="7">
        <v>2030</v>
      </c>
      <c r="AV2" s="7">
        <v>2025</v>
      </c>
      <c r="AW2" s="7">
        <v>2026</v>
      </c>
      <c r="AX2" s="7">
        <v>2027</v>
      </c>
      <c r="AY2" s="7">
        <v>2028</v>
      </c>
      <c r="AZ2" s="7">
        <v>2029</v>
      </c>
      <c r="BA2" s="7">
        <v>2030</v>
      </c>
      <c r="BB2" s="7">
        <v>2025</v>
      </c>
      <c r="BC2" s="7">
        <v>2026</v>
      </c>
      <c r="BD2" s="7">
        <v>2027</v>
      </c>
      <c r="BE2" s="7">
        <v>2028</v>
      </c>
      <c r="BF2" s="7">
        <v>2029</v>
      </c>
      <c r="BG2" s="7">
        <v>2030</v>
      </c>
    </row>
    <row r="3" spans="1:59" ht="15.75" thickBot="1" x14ac:dyDescent="0.3">
      <c r="A3" s="7" t="s">
        <v>146</v>
      </c>
      <c r="B3" s="7"/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9">
        <v>1</v>
      </c>
      <c r="J3" s="10">
        <v>0.04</v>
      </c>
      <c r="K3" s="10">
        <v>0.03</v>
      </c>
      <c r="L3" s="10">
        <v>0.03</v>
      </c>
      <c r="M3" s="10">
        <v>0.02</v>
      </c>
      <c r="N3" s="10">
        <v>0.02</v>
      </c>
      <c r="O3" s="10">
        <v>0.02</v>
      </c>
      <c r="P3" s="11">
        <v>90</v>
      </c>
      <c r="Q3" s="11">
        <v>0</v>
      </c>
      <c r="R3" s="12">
        <v>90</v>
      </c>
      <c r="S3" s="12">
        <v>90</v>
      </c>
      <c r="T3" s="12">
        <v>90</v>
      </c>
      <c r="U3" s="12">
        <v>90</v>
      </c>
      <c r="V3" s="12">
        <v>90</v>
      </c>
      <c r="W3" s="12">
        <v>90</v>
      </c>
      <c r="X3" s="13">
        <v>3.76</v>
      </c>
      <c r="Y3" s="13">
        <v>2.5299999999999998</v>
      </c>
      <c r="Z3" s="13">
        <v>2.5099999999999998</v>
      </c>
      <c r="AA3" s="13">
        <v>2.4500000000000002</v>
      </c>
      <c r="AB3" s="13">
        <v>2.4300000000000002</v>
      </c>
      <c r="AC3" s="13">
        <v>2.38</v>
      </c>
      <c r="AD3" s="14">
        <v>3.39</v>
      </c>
      <c r="AE3" s="14">
        <v>2.27</v>
      </c>
      <c r="AF3" s="14">
        <v>2.2599999999999998</v>
      </c>
      <c r="AG3" s="14">
        <v>2.2000000000000002</v>
      </c>
      <c r="AH3" s="14">
        <v>2.1800000000000002</v>
      </c>
      <c r="AI3" s="14">
        <v>2.14</v>
      </c>
      <c r="AJ3" s="15">
        <v>98.4</v>
      </c>
      <c r="AK3" s="15">
        <v>69.09</v>
      </c>
      <c r="AL3" s="15">
        <v>68.040000000000006</v>
      </c>
      <c r="AM3" s="15">
        <v>66.989999999999995</v>
      </c>
      <c r="AN3" s="15">
        <v>65.930000000000007</v>
      </c>
      <c r="AO3" s="15">
        <v>64.88</v>
      </c>
      <c r="AP3" s="16">
        <v>2613.6</v>
      </c>
      <c r="AQ3" s="16">
        <v>2735.1</v>
      </c>
      <c r="AR3" s="16">
        <v>2710.8</v>
      </c>
      <c r="AS3" s="16">
        <v>2735.1</v>
      </c>
      <c r="AT3" s="16">
        <v>2716.2</v>
      </c>
      <c r="AU3" s="16">
        <v>2727</v>
      </c>
      <c r="AV3" s="17">
        <v>2904</v>
      </c>
      <c r="AW3" s="17">
        <v>3039</v>
      </c>
      <c r="AX3" s="17">
        <v>3012</v>
      </c>
      <c r="AY3" s="17">
        <v>3039</v>
      </c>
      <c r="AZ3" s="17">
        <v>3018</v>
      </c>
      <c r="BA3" s="17">
        <v>3030</v>
      </c>
      <c r="BB3" s="18">
        <v>373934</v>
      </c>
      <c r="BC3" s="18">
        <v>266549</v>
      </c>
      <c r="BD3" s="18">
        <v>266549</v>
      </c>
      <c r="BE3" s="18">
        <v>266549</v>
      </c>
      <c r="BF3" s="18">
        <v>266549</v>
      </c>
      <c r="BG3" s="18">
        <v>266549</v>
      </c>
    </row>
    <row r="4" spans="1:59" ht="15.75" thickBot="1" x14ac:dyDescent="0.3">
      <c r="A4" s="19" t="s">
        <v>345</v>
      </c>
      <c r="B4" s="19" t="s">
        <v>320</v>
      </c>
      <c r="C4" s="20">
        <v>1</v>
      </c>
      <c r="D4" s="20">
        <v>1</v>
      </c>
      <c r="E4" s="20">
        <v>1</v>
      </c>
      <c r="F4" s="20">
        <v>1</v>
      </c>
      <c r="G4" s="20">
        <v>1</v>
      </c>
      <c r="H4" s="20">
        <v>1</v>
      </c>
      <c r="I4" s="21">
        <v>1</v>
      </c>
      <c r="J4" s="22">
        <v>0.04</v>
      </c>
      <c r="K4" s="22">
        <v>0.03</v>
      </c>
      <c r="L4" s="22">
        <v>0.03</v>
      </c>
      <c r="M4" s="22">
        <v>0.02</v>
      </c>
      <c r="N4" s="22">
        <v>0.02</v>
      </c>
      <c r="O4" s="22">
        <v>0.02</v>
      </c>
      <c r="P4" s="23">
        <v>90</v>
      </c>
      <c r="Q4" s="23">
        <v>0</v>
      </c>
      <c r="R4" s="24">
        <v>90</v>
      </c>
      <c r="S4" s="24">
        <v>90</v>
      </c>
      <c r="T4" s="24">
        <v>90</v>
      </c>
      <c r="U4" s="24">
        <v>90</v>
      </c>
      <c r="V4" s="24">
        <v>90</v>
      </c>
      <c r="W4" s="24">
        <v>90</v>
      </c>
      <c r="X4" s="25">
        <v>3.76</v>
      </c>
      <c r="Y4" s="25">
        <v>2.5299999999999998</v>
      </c>
      <c r="Z4" s="25">
        <v>2.5099999999999998</v>
      </c>
      <c r="AA4" s="25">
        <v>2.4500000000000002</v>
      </c>
      <c r="AB4" s="25">
        <v>2.4300000000000002</v>
      </c>
      <c r="AC4" s="25">
        <v>2.38</v>
      </c>
      <c r="AD4" s="26">
        <v>3.39</v>
      </c>
      <c r="AE4" s="26">
        <v>2.27</v>
      </c>
      <c r="AF4" s="26">
        <v>2.2599999999999998</v>
      </c>
      <c r="AG4" s="26">
        <v>2.2000000000000002</v>
      </c>
      <c r="AH4" s="26">
        <v>2.1800000000000002</v>
      </c>
      <c r="AI4" s="26">
        <v>2.14</v>
      </c>
      <c r="AJ4" s="27">
        <v>98.4</v>
      </c>
      <c r="AK4" s="27">
        <v>69.09</v>
      </c>
      <c r="AL4" s="27">
        <v>68.040000000000006</v>
      </c>
      <c r="AM4" s="27">
        <v>66.989999999999995</v>
      </c>
      <c r="AN4" s="27">
        <v>65.930000000000007</v>
      </c>
      <c r="AO4" s="27">
        <v>64.88</v>
      </c>
      <c r="AP4" s="28">
        <v>2613.6</v>
      </c>
      <c r="AQ4" s="28">
        <v>2735.1</v>
      </c>
      <c r="AR4" s="28">
        <v>2710.8</v>
      </c>
      <c r="AS4" s="28">
        <v>2735.1</v>
      </c>
      <c r="AT4" s="28">
        <v>2716.2</v>
      </c>
      <c r="AU4" s="28">
        <v>2727</v>
      </c>
      <c r="AV4" s="29">
        <v>2904</v>
      </c>
      <c r="AW4" s="29">
        <v>3039</v>
      </c>
      <c r="AX4" s="29">
        <v>3012</v>
      </c>
      <c r="AY4" s="29">
        <v>3039</v>
      </c>
      <c r="AZ4" s="29">
        <v>3018</v>
      </c>
      <c r="BA4" s="29">
        <v>3030</v>
      </c>
      <c r="BB4" s="30">
        <v>373934</v>
      </c>
      <c r="BC4" s="30">
        <v>266549</v>
      </c>
      <c r="BD4" s="30">
        <v>266549</v>
      </c>
      <c r="BE4" s="30">
        <v>266549</v>
      </c>
      <c r="BF4" s="30">
        <v>266549</v>
      </c>
      <c r="BG4" s="30">
        <v>266549</v>
      </c>
    </row>
    <row r="5" spans="1:59" x14ac:dyDescent="0.25">
      <c r="A5" s="117" t="s">
        <v>692</v>
      </c>
      <c r="B5" s="118" t="s">
        <v>690</v>
      </c>
      <c r="C5" s="119" t="s">
        <v>691</v>
      </c>
      <c r="D5" s="119" t="s">
        <v>689</v>
      </c>
      <c r="E5" s="133" t="s">
        <v>688</v>
      </c>
      <c r="F5" s="120" t="s">
        <v>693</v>
      </c>
    </row>
    <row r="6" spans="1:59" x14ac:dyDescent="0.25">
      <c r="A6" s="130"/>
      <c r="B6" s="130"/>
      <c r="C6" s="130"/>
      <c r="D6" s="131">
        <f>C6/60</f>
        <v>0</v>
      </c>
      <c r="E6" s="130"/>
      <c r="F6" s="131">
        <f>IF(AND(C6&lt;&gt;0,E6&lt;&gt;0),E6/C6,0)</f>
        <v>0</v>
      </c>
    </row>
    <row r="7" spans="1:59" x14ac:dyDescent="0.25">
      <c r="A7" s="130"/>
      <c r="B7" s="130"/>
      <c r="C7" s="130"/>
      <c r="D7" s="131">
        <f t="shared" ref="D7:D30" si="0">C7/60</f>
        <v>0</v>
      </c>
      <c r="E7" s="130"/>
      <c r="F7" s="131">
        <f t="shared" ref="F7:F30" si="1">IF(AND(C7&lt;&gt;0,E7&lt;&gt;0),E7/C7,0)</f>
        <v>0</v>
      </c>
    </row>
    <row r="8" spans="1:59" x14ac:dyDescent="0.25">
      <c r="A8" s="130"/>
      <c r="B8" s="130"/>
      <c r="C8" s="130"/>
      <c r="D8" s="131">
        <f t="shared" si="0"/>
        <v>0</v>
      </c>
      <c r="E8" s="130"/>
      <c r="F8" s="131">
        <f t="shared" si="1"/>
        <v>0</v>
      </c>
    </row>
    <row r="9" spans="1:59" x14ac:dyDescent="0.25">
      <c r="A9" s="130"/>
      <c r="B9" s="130"/>
      <c r="C9" s="130"/>
      <c r="D9" s="131">
        <f t="shared" si="0"/>
        <v>0</v>
      </c>
      <c r="E9" s="130"/>
      <c r="F9" s="131">
        <f t="shared" si="1"/>
        <v>0</v>
      </c>
    </row>
    <row r="10" spans="1:59" x14ac:dyDescent="0.25">
      <c r="A10" s="130"/>
      <c r="B10" s="130"/>
      <c r="C10" s="130"/>
      <c r="D10" s="131">
        <f t="shared" si="0"/>
        <v>0</v>
      </c>
      <c r="E10" s="130"/>
      <c r="F10" s="131">
        <f t="shared" si="1"/>
        <v>0</v>
      </c>
    </row>
    <row r="11" spans="1:59" x14ac:dyDescent="0.25">
      <c r="A11" s="130"/>
      <c r="B11" s="130"/>
      <c r="C11" s="130"/>
      <c r="D11" s="131">
        <f t="shared" si="0"/>
        <v>0</v>
      </c>
      <c r="E11" s="130"/>
      <c r="F11" s="131">
        <f t="shared" si="1"/>
        <v>0</v>
      </c>
    </row>
    <row r="12" spans="1:59" x14ac:dyDescent="0.25">
      <c r="A12" s="130"/>
      <c r="B12" s="130"/>
      <c r="C12" s="130"/>
      <c r="D12" s="131">
        <f t="shared" si="0"/>
        <v>0</v>
      </c>
      <c r="E12" s="130"/>
      <c r="F12" s="131">
        <f t="shared" si="1"/>
        <v>0</v>
      </c>
    </row>
    <row r="13" spans="1:59" x14ac:dyDescent="0.25">
      <c r="A13" s="130"/>
      <c r="B13" s="130"/>
      <c r="C13" s="130"/>
      <c r="D13" s="131">
        <f t="shared" si="0"/>
        <v>0</v>
      </c>
      <c r="E13" s="130"/>
      <c r="F13" s="131">
        <f t="shared" si="1"/>
        <v>0</v>
      </c>
    </row>
    <row r="14" spans="1:59" x14ac:dyDescent="0.25">
      <c r="A14" s="130"/>
      <c r="B14" s="130"/>
      <c r="C14" s="130"/>
      <c r="D14" s="131">
        <f t="shared" si="0"/>
        <v>0</v>
      </c>
      <c r="E14" s="130"/>
      <c r="F14" s="131">
        <f t="shared" si="1"/>
        <v>0</v>
      </c>
    </row>
    <row r="15" spans="1:59" x14ac:dyDescent="0.25">
      <c r="A15" s="130"/>
      <c r="B15" s="130"/>
      <c r="C15" s="130"/>
      <c r="D15" s="131">
        <f t="shared" si="0"/>
        <v>0</v>
      </c>
      <c r="E15" s="130"/>
      <c r="F15" s="131">
        <f t="shared" si="1"/>
        <v>0</v>
      </c>
    </row>
    <row r="16" spans="1:59" x14ac:dyDescent="0.25">
      <c r="A16" s="130"/>
      <c r="B16" s="130"/>
      <c r="C16" s="130"/>
      <c r="D16" s="131">
        <f t="shared" si="0"/>
        <v>0</v>
      </c>
      <c r="E16" s="130"/>
      <c r="F16" s="131">
        <f t="shared" si="1"/>
        <v>0</v>
      </c>
    </row>
    <row r="17" spans="1:6" x14ac:dyDescent="0.25">
      <c r="A17" s="130"/>
      <c r="B17" s="130"/>
      <c r="C17" s="130"/>
      <c r="D17" s="131">
        <f t="shared" si="0"/>
        <v>0</v>
      </c>
      <c r="E17" s="130"/>
      <c r="F17" s="131">
        <f t="shared" si="1"/>
        <v>0</v>
      </c>
    </row>
    <row r="18" spans="1:6" x14ac:dyDescent="0.25">
      <c r="A18" s="130"/>
      <c r="B18" s="130"/>
      <c r="C18" s="130"/>
      <c r="D18" s="131">
        <f t="shared" si="0"/>
        <v>0</v>
      </c>
      <c r="E18" s="130"/>
      <c r="F18" s="131">
        <f t="shared" si="1"/>
        <v>0</v>
      </c>
    </row>
    <row r="19" spans="1:6" x14ac:dyDescent="0.25">
      <c r="A19" s="130"/>
      <c r="B19" s="130"/>
      <c r="C19" s="130"/>
      <c r="D19" s="131">
        <f t="shared" si="0"/>
        <v>0</v>
      </c>
      <c r="E19" s="130"/>
      <c r="F19" s="131">
        <f t="shared" si="1"/>
        <v>0</v>
      </c>
    </row>
    <row r="20" spans="1:6" x14ac:dyDescent="0.25">
      <c r="A20" s="130"/>
      <c r="B20" s="130"/>
      <c r="C20" s="130"/>
      <c r="D20" s="131">
        <f t="shared" si="0"/>
        <v>0</v>
      </c>
      <c r="E20" s="130"/>
      <c r="F20" s="131">
        <f t="shared" si="1"/>
        <v>0</v>
      </c>
    </row>
    <row r="21" spans="1:6" x14ac:dyDescent="0.25">
      <c r="A21" s="130"/>
      <c r="B21" s="130"/>
      <c r="C21" s="130"/>
      <c r="D21" s="131">
        <f t="shared" si="0"/>
        <v>0</v>
      </c>
      <c r="E21" s="130"/>
      <c r="F21" s="131">
        <f t="shared" si="1"/>
        <v>0</v>
      </c>
    </row>
    <row r="22" spans="1:6" x14ac:dyDescent="0.25">
      <c r="A22" s="130"/>
      <c r="B22" s="130"/>
      <c r="C22" s="130"/>
      <c r="D22" s="131">
        <f t="shared" si="0"/>
        <v>0</v>
      </c>
      <c r="E22" s="130"/>
      <c r="F22" s="131">
        <f t="shared" si="1"/>
        <v>0</v>
      </c>
    </row>
    <row r="23" spans="1:6" x14ac:dyDescent="0.25">
      <c r="A23" s="130"/>
      <c r="B23" s="130"/>
      <c r="C23" s="130"/>
      <c r="D23" s="131">
        <f t="shared" si="0"/>
        <v>0</v>
      </c>
      <c r="E23" s="130"/>
      <c r="F23" s="131">
        <f t="shared" si="1"/>
        <v>0</v>
      </c>
    </row>
    <row r="24" spans="1:6" x14ac:dyDescent="0.25">
      <c r="A24" s="130"/>
      <c r="B24" s="130"/>
      <c r="C24" s="130"/>
      <c r="D24" s="131">
        <f t="shared" si="0"/>
        <v>0</v>
      </c>
      <c r="E24" s="130"/>
      <c r="F24" s="131">
        <f t="shared" si="1"/>
        <v>0</v>
      </c>
    </row>
    <row r="25" spans="1:6" x14ac:dyDescent="0.25">
      <c r="A25" s="130"/>
      <c r="B25" s="130"/>
      <c r="C25" s="130"/>
      <c r="D25" s="131">
        <f t="shared" si="0"/>
        <v>0</v>
      </c>
      <c r="E25" s="130"/>
      <c r="F25" s="131">
        <f t="shared" si="1"/>
        <v>0</v>
      </c>
    </row>
    <row r="26" spans="1:6" x14ac:dyDescent="0.25">
      <c r="A26" s="130"/>
      <c r="B26" s="130"/>
      <c r="C26" s="130"/>
      <c r="D26" s="131">
        <f t="shared" si="0"/>
        <v>0</v>
      </c>
      <c r="E26" s="130"/>
      <c r="F26" s="131">
        <f t="shared" si="1"/>
        <v>0</v>
      </c>
    </row>
    <row r="27" spans="1:6" x14ac:dyDescent="0.25">
      <c r="A27" s="130"/>
      <c r="B27" s="130"/>
      <c r="C27" s="130"/>
      <c r="D27" s="131">
        <f t="shared" si="0"/>
        <v>0</v>
      </c>
      <c r="E27" s="130"/>
      <c r="F27" s="131">
        <f t="shared" si="1"/>
        <v>0</v>
      </c>
    </row>
    <row r="28" spans="1:6" x14ac:dyDescent="0.25">
      <c r="A28" s="130"/>
      <c r="B28" s="130"/>
      <c r="C28" s="130"/>
      <c r="D28" s="131">
        <f t="shared" si="0"/>
        <v>0</v>
      </c>
      <c r="E28" s="130"/>
      <c r="F28" s="131">
        <f t="shared" si="1"/>
        <v>0</v>
      </c>
    </row>
    <row r="29" spans="1:6" x14ac:dyDescent="0.25">
      <c r="A29" s="130"/>
      <c r="B29" s="130"/>
      <c r="C29" s="130"/>
      <c r="D29" s="131">
        <f t="shared" si="0"/>
        <v>0</v>
      </c>
      <c r="E29" s="130"/>
      <c r="F29" s="131">
        <f t="shared" si="1"/>
        <v>0</v>
      </c>
    </row>
    <row r="30" spans="1:6" x14ac:dyDescent="0.25">
      <c r="A30" s="130"/>
      <c r="B30" s="130"/>
      <c r="C30" s="130"/>
      <c r="D30" s="131">
        <f t="shared" si="0"/>
        <v>0</v>
      </c>
      <c r="E30" s="130"/>
      <c r="F30" s="131">
        <f t="shared" si="1"/>
        <v>0</v>
      </c>
    </row>
  </sheetData>
  <mergeCells count="11">
    <mergeCell ref="X1:AC1"/>
    <mergeCell ref="A1:B1"/>
    <mergeCell ref="C1:H1"/>
    <mergeCell ref="J1:O1"/>
    <mergeCell ref="P1:Q1"/>
    <mergeCell ref="R1:W1"/>
    <mergeCell ref="AD1:AI1"/>
    <mergeCell ref="AJ1:AO1"/>
    <mergeCell ref="AP1:AU1"/>
    <mergeCell ref="AV1:BA1"/>
    <mergeCell ref="BB1:BG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D190-84AF-42A7-9AB1-16B3B680D989}">
  <dimension ref="A1:BM54"/>
  <sheetViews>
    <sheetView topLeftCell="A21" zoomScaleNormal="100" workbookViewId="0">
      <selection activeCell="L26" sqref="L26"/>
    </sheetView>
  </sheetViews>
  <sheetFormatPr defaultRowHeight="15" x14ac:dyDescent="0.25"/>
  <cols>
    <col min="1" max="1" width="23" bestFit="1" customWidth="1"/>
    <col min="2" max="2" width="36.85546875" bestFit="1" customWidth="1"/>
    <col min="3" max="8" width="6.28515625" hidden="1" customWidth="1"/>
    <col min="9" max="9" width="16.42578125" bestFit="1" customWidth="1"/>
    <col min="10" max="10" width="15.7109375" bestFit="1" customWidth="1"/>
    <col min="11" max="11" width="15.140625" bestFit="1" customWidth="1"/>
    <col min="12" max="12" width="18.85546875" bestFit="1" customWidth="1"/>
    <col min="13" max="14" width="15.140625" bestFit="1" customWidth="1"/>
    <col min="15" max="15" width="15.28515625" bestFit="1" customWidth="1"/>
    <col min="16" max="21" width="9.85546875" style="92" bestFit="1" customWidth="1"/>
    <col min="22" max="22" width="15.140625" customWidth="1"/>
    <col min="23" max="23" width="13.85546875" customWidth="1"/>
    <col min="24" max="41" width="7.42578125" customWidth="1"/>
    <col min="42" max="46" width="10.42578125" bestFit="1" customWidth="1"/>
    <col min="47" max="59" width="10.28515625" bestFit="1" customWidth="1"/>
    <col min="60" max="65" width="14.42578125" hidden="1" customWidth="1"/>
  </cols>
  <sheetData>
    <row r="1" spans="1:65" ht="15.75" thickBot="1" x14ac:dyDescent="0.3">
      <c r="A1" s="197"/>
      <c r="B1" s="199"/>
      <c r="C1" s="197" t="s">
        <v>130</v>
      </c>
      <c r="D1" s="198"/>
      <c r="E1" s="198"/>
      <c r="F1" s="198"/>
      <c r="G1" s="198"/>
      <c r="H1" s="199"/>
      <c r="I1" s="7" t="s">
        <v>175</v>
      </c>
      <c r="J1" s="197" t="s">
        <v>176</v>
      </c>
      <c r="K1" s="198"/>
      <c r="L1" s="198"/>
      <c r="M1" s="198"/>
      <c r="N1" s="198"/>
      <c r="O1" s="199"/>
      <c r="P1" s="200" t="s">
        <v>656</v>
      </c>
      <c r="Q1" s="201"/>
      <c r="R1" s="201"/>
      <c r="S1" s="201"/>
      <c r="T1" s="201"/>
      <c r="U1" s="202"/>
      <c r="V1" s="197" t="s">
        <v>133</v>
      </c>
      <c r="W1" s="199"/>
      <c r="X1" s="197" t="s">
        <v>134</v>
      </c>
      <c r="Y1" s="198"/>
      <c r="Z1" s="198"/>
      <c r="AA1" s="198"/>
      <c r="AB1" s="198"/>
      <c r="AC1" s="199"/>
      <c r="AD1" s="197" t="s">
        <v>135</v>
      </c>
      <c r="AE1" s="198"/>
      <c r="AF1" s="198"/>
      <c r="AG1" s="198"/>
      <c r="AH1" s="198"/>
      <c r="AI1" s="199"/>
      <c r="AJ1" s="197" t="s">
        <v>136</v>
      </c>
      <c r="AK1" s="198"/>
      <c r="AL1" s="198"/>
      <c r="AM1" s="198"/>
      <c r="AN1" s="198"/>
      <c r="AO1" s="199"/>
      <c r="AP1" s="197" t="s">
        <v>177</v>
      </c>
      <c r="AQ1" s="198"/>
      <c r="AR1" s="198"/>
      <c r="AS1" s="198"/>
      <c r="AT1" s="198"/>
      <c r="AU1" s="199"/>
      <c r="AV1" s="197" t="s">
        <v>138</v>
      </c>
      <c r="AW1" s="198"/>
      <c r="AX1" s="198"/>
      <c r="AY1" s="198"/>
      <c r="AZ1" s="198"/>
      <c r="BA1" s="199"/>
      <c r="BB1" s="197" t="s">
        <v>139</v>
      </c>
      <c r="BC1" s="198"/>
      <c r="BD1" s="198"/>
      <c r="BE1" s="198"/>
      <c r="BF1" s="198"/>
      <c r="BG1" s="199"/>
      <c r="BH1" s="197" t="s">
        <v>140</v>
      </c>
      <c r="BI1" s="198"/>
      <c r="BJ1" s="198"/>
      <c r="BK1" s="198"/>
      <c r="BL1" s="198"/>
      <c r="BM1" s="199"/>
    </row>
    <row r="2" spans="1:65" ht="15.75" thickBot="1" x14ac:dyDescent="0.3">
      <c r="A2" s="7" t="s">
        <v>141</v>
      </c>
      <c r="B2" s="7" t="s">
        <v>142</v>
      </c>
      <c r="C2" s="7">
        <v>2025</v>
      </c>
      <c r="D2" s="7">
        <v>2026</v>
      </c>
      <c r="E2" s="7">
        <v>2027</v>
      </c>
      <c r="F2" s="7">
        <v>2028</v>
      </c>
      <c r="G2" s="7">
        <v>2029</v>
      </c>
      <c r="H2" s="7">
        <v>2030</v>
      </c>
      <c r="I2" s="7" t="s">
        <v>143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89">
        <v>2025</v>
      </c>
      <c r="Q2" s="89">
        <v>2026</v>
      </c>
      <c r="R2" s="89">
        <v>2027</v>
      </c>
      <c r="S2" s="89">
        <v>2028</v>
      </c>
      <c r="T2" s="89">
        <v>2029</v>
      </c>
      <c r="U2" s="89">
        <v>2030</v>
      </c>
      <c r="V2" s="7" t="s">
        <v>144</v>
      </c>
      <c r="W2" s="7" t="s">
        <v>145</v>
      </c>
      <c r="X2" s="7">
        <v>2025</v>
      </c>
      <c r="Y2" s="7">
        <v>2026</v>
      </c>
      <c r="Z2" s="7">
        <v>2027</v>
      </c>
      <c r="AA2" s="7">
        <v>2028</v>
      </c>
      <c r="AB2" s="7">
        <v>2029</v>
      </c>
      <c r="AC2" s="7">
        <v>2030</v>
      </c>
      <c r="AD2" s="7">
        <v>2025</v>
      </c>
      <c r="AE2" s="7">
        <v>2026</v>
      </c>
      <c r="AF2" s="7">
        <v>2027</v>
      </c>
      <c r="AG2" s="7">
        <v>2028</v>
      </c>
      <c r="AH2" s="7">
        <v>2029</v>
      </c>
      <c r="AI2" s="7">
        <v>2030</v>
      </c>
      <c r="AJ2" s="7">
        <v>2025</v>
      </c>
      <c r="AK2" s="7">
        <v>2026</v>
      </c>
      <c r="AL2" s="7">
        <v>2027</v>
      </c>
      <c r="AM2" s="7">
        <v>2028</v>
      </c>
      <c r="AN2" s="7">
        <v>2029</v>
      </c>
      <c r="AO2" s="7">
        <v>2030</v>
      </c>
      <c r="AP2" s="7">
        <v>2025</v>
      </c>
      <c r="AQ2" s="7">
        <v>2026</v>
      </c>
      <c r="AR2" s="7">
        <v>2027</v>
      </c>
      <c r="AS2" s="7">
        <v>2028</v>
      </c>
      <c r="AT2" s="7">
        <v>2029</v>
      </c>
      <c r="AU2" s="7">
        <v>2030</v>
      </c>
      <c r="AV2" s="7">
        <v>2025</v>
      </c>
      <c r="AW2" s="7">
        <v>2026</v>
      </c>
      <c r="AX2" s="7">
        <v>2027</v>
      </c>
      <c r="AY2" s="7">
        <v>2028</v>
      </c>
      <c r="AZ2" s="7">
        <v>2029</v>
      </c>
      <c r="BA2" s="7">
        <v>2030</v>
      </c>
      <c r="BB2" s="7">
        <v>2025</v>
      </c>
      <c r="BC2" s="7">
        <v>2026</v>
      </c>
      <c r="BD2" s="7">
        <v>2027</v>
      </c>
      <c r="BE2" s="7">
        <v>2028</v>
      </c>
      <c r="BF2" s="7">
        <v>2029</v>
      </c>
      <c r="BG2" s="7">
        <v>2030</v>
      </c>
      <c r="BH2" s="7">
        <v>2025</v>
      </c>
      <c r="BI2" s="7">
        <v>2026</v>
      </c>
      <c r="BJ2" s="7">
        <v>2027</v>
      </c>
      <c r="BK2" s="7">
        <v>2028</v>
      </c>
      <c r="BL2" s="7">
        <v>2029</v>
      </c>
      <c r="BM2" s="7">
        <v>2030</v>
      </c>
    </row>
    <row r="3" spans="1:65" ht="15.75" thickBot="1" x14ac:dyDescent="0.3">
      <c r="A3" s="7" t="s">
        <v>146</v>
      </c>
      <c r="B3" s="7"/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9">
        <v>2</v>
      </c>
      <c r="J3" s="93">
        <f t="shared" ref="J3:O3" si="0">($I$3*P3)/100</f>
        <v>1.6048463438849248</v>
      </c>
      <c r="K3" s="10">
        <f t="shared" si="0"/>
        <v>1.716652757493567</v>
      </c>
      <c r="L3" s="10">
        <f t="shared" si="0"/>
        <v>1.7597036481550914</v>
      </c>
      <c r="M3" s="10">
        <f t="shared" si="0"/>
        <v>1.8636779410847553</v>
      </c>
      <c r="N3" s="10">
        <f t="shared" si="0"/>
        <v>1.9717046094777035</v>
      </c>
      <c r="O3" s="10">
        <f t="shared" si="0"/>
        <v>1.9631831844253258</v>
      </c>
      <c r="P3" s="90">
        <f>(AP3*100)/(BB3*X3)</f>
        <v>80.24231719424624</v>
      </c>
      <c r="Q3" s="90">
        <f>(AQ3*100)/(BC3*Y3)</f>
        <v>85.832637874678355</v>
      </c>
      <c r="R3" s="90">
        <f t="shared" ref="R3:U3" si="1">(AR3*100)/(BD3*Z3)</f>
        <v>87.985182407754564</v>
      </c>
      <c r="S3" s="90">
        <f t="shared" si="1"/>
        <v>93.183897054237761</v>
      </c>
      <c r="T3" s="90">
        <f t="shared" si="1"/>
        <v>98.585230473885176</v>
      </c>
      <c r="U3" s="90">
        <f t="shared" si="1"/>
        <v>98.159159221266293</v>
      </c>
      <c r="V3" s="11">
        <v>60</v>
      </c>
      <c r="W3" s="11">
        <f>(1+(31*0.01))</f>
        <v>1.31</v>
      </c>
      <c r="X3" s="12">
        <f t="shared" ref="X3:AB3" si="2">(60*0.01)</f>
        <v>0.6</v>
      </c>
      <c r="Y3" s="12">
        <f t="shared" si="2"/>
        <v>0.6</v>
      </c>
      <c r="Z3" s="12">
        <f t="shared" si="2"/>
        <v>0.6</v>
      </c>
      <c r="AA3" s="12">
        <f t="shared" si="2"/>
        <v>0.6</v>
      </c>
      <c r="AB3" s="12">
        <f t="shared" si="2"/>
        <v>0.6</v>
      </c>
      <c r="AC3" s="12">
        <f>(60*0.01)</f>
        <v>0.6</v>
      </c>
      <c r="AD3" s="13">
        <f>(SUM(AD4:AD1048576))</f>
        <v>80.25</v>
      </c>
      <c r="AE3" s="13">
        <v>85.83</v>
      </c>
      <c r="AF3" s="13">
        <v>87.99</v>
      </c>
      <c r="AG3" s="13">
        <v>93.18</v>
      </c>
      <c r="AH3" s="13">
        <v>98.59</v>
      </c>
      <c r="AI3" s="13">
        <v>98.16</v>
      </c>
      <c r="AJ3" s="14">
        <f>(48.15*0.01)</f>
        <v>0.48149999999999998</v>
      </c>
      <c r="AK3" s="14">
        <f>0.01*51.5</f>
        <v>0.51500000000000001</v>
      </c>
      <c r="AL3" s="14">
        <f>0.01*52.79</f>
        <v>0.52790000000000004</v>
      </c>
      <c r="AM3" s="14">
        <f>0.01*55.91</f>
        <v>0.55909999999999993</v>
      </c>
      <c r="AN3" s="14">
        <f>(59.15*0.01)</f>
        <v>0.59150000000000003</v>
      </c>
      <c r="AO3" s="14">
        <f>(0.01*58.9)</f>
        <v>0.58899999999999997</v>
      </c>
      <c r="AP3" s="15">
        <f>SUM(AP4:AP1048576)</f>
        <v>4170.45</v>
      </c>
      <c r="AQ3" s="15">
        <f t="shared" ref="AQ3:AU3" si="3">SUM(AQ4:AQ1048576)</f>
        <v>4936.75</v>
      </c>
      <c r="AR3" s="15">
        <f t="shared" si="3"/>
        <v>5068.58</v>
      </c>
      <c r="AS3" s="15">
        <f t="shared" si="3"/>
        <v>5378.91</v>
      </c>
      <c r="AT3" s="15">
        <f t="shared" si="3"/>
        <v>5669.4</v>
      </c>
      <c r="AU3" s="15">
        <f t="shared" si="3"/>
        <v>5695.43</v>
      </c>
      <c r="AV3" s="16">
        <v>5197.32</v>
      </c>
      <c r="AW3" s="16">
        <v>5751.6</v>
      </c>
      <c r="AX3" s="16">
        <v>5760.72</v>
      </c>
      <c r="AY3" s="16">
        <v>5772.36</v>
      </c>
      <c r="AZ3" s="16">
        <v>5750.76</v>
      </c>
      <c r="BA3" s="16">
        <v>5802.24</v>
      </c>
      <c r="BB3" s="17">
        <f>AVERAGEIF(BB4:BB1048576,"&lt;&gt;0")</f>
        <v>8662.2000000000025</v>
      </c>
      <c r="BC3" s="17">
        <f>AVERAGEIF(BC4:BC1048576,"&lt;&gt;0")</f>
        <v>9586</v>
      </c>
      <c r="BD3" s="17">
        <f t="shared" ref="BD3:BG3" si="4">AVERAGEIF(BD4:BD1048576,"&lt;&gt;0")</f>
        <v>9601.2000000000025</v>
      </c>
      <c r="BE3" s="17">
        <f t="shared" si="4"/>
        <v>9620.6000000000022</v>
      </c>
      <c r="BF3" s="17">
        <f t="shared" si="4"/>
        <v>9584.6000000000022</v>
      </c>
      <c r="BG3" s="17">
        <f t="shared" si="4"/>
        <v>9670.3999999999978</v>
      </c>
      <c r="BH3" s="18">
        <v>1732534</v>
      </c>
      <c r="BI3" s="18">
        <v>2040556</v>
      </c>
      <c r="BJ3" s="18">
        <v>2117380</v>
      </c>
      <c r="BK3" s="18">
        <v>2263911</v>
      </c>
      <c r="BL3" s="18">
        <v>2407511</v>
      </c>
      <c r="BM3" s="18">
        <v>2452848</v>
      </c>
    </row>
    <row r="4" spans="1:65" ht="15.75" thickBot="1" x14ac:dyDescent="0.3">
      <c r="A4" s="19" t="s">
        <v>269</v>
      </c>
      <c r="B4" s="19" t="s">
        <v>270</v>
      </c>
      <c r="C4" s="20">
        <v>1</v>
      </c>
      <c r="D4" s="20">
        <v>1</v>
      </c>
      <c r="E4" s="20">
        <v>1</v>
      </c>
      <c r="F4" s="20">
        <v>1</v>
      </c>
      <c r="G4" s="20">
        <v>1</v>
      </c>
      <c r="H4" s="20">
        <v>1</v>
      </c>
      <c r="I4" s="21">
        <v>2</v>
      </c>
      <c r="J4" s="22">
        <v>1.6</v>
      </c>
      <c r="K4" s="22">
        <v>1.71</v>
      </c>
      <c r="L4" s="22">
        <v>1.76</v>
      </c>
      <c r="M4" s="22">
        <v>1.87</v>
      </c>
      <c r="N4" s="22">
        <v>1.97</v>
      </c>
      <c r="O4" s="22">
        <v>1.97</v>
      </c>
      <c r="P4" s="91"/>
      <c r="Q4" s="91"/>
      <c r="R4" s="91"/>
      <c r="S4" s="91"/>
      <c r="T4" s="91"/>
      <c r="U4" s="91"/>
      <c r="V4" s="23">
        <v>60</v>
      </c>
      <c r="W4" s="23">
        <v>31</v>
      </c>
      <c r="X4" s="24">
        <v>60</v>
      </c>
      <c r="Y4" s="24">
        <v>60</v>
      </c>
      <c r="Z4" s="24">
        <v>60</v>
      </c>
      <c r="AA4" s="24">
        <v>60</v>
      </c>
      <c r="AB4" s="24">
        <v>60</v>
      </c>
      <c r="AC4" s="24">
        <v>60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6">
        <v>0</v>
      </c>
      <c r="AK4" s="26">
        <v>0</v>
      </c>
      <c r="AL4" s="26">
        <v>0</v>
      </c>
      <c r="AM4" s="26">
        <v>0</v>
      </c>
      <c r="AN4" s="26">
        <v>0</v>
      </c>
      <c r="AO4" s="26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8">
        <v>5197.32</v>
      </c>
      <c r="AW4" s="28">
        <v>5751.6</v>
      </c>
      <c r="AX4" s="28">
        <v>5760.72</v>
      </c>
      <c r="AY4" s="28">
        <v>5772.36</v>
      </c>
      <c r="AZ4" s="28">
        <v>5750.76</v>
      </c>
      <c r="BA4" s="28">
        <v>5802.24</v>
      </c>
      <c r="BB4" s="29">
        <v>8662.2000000000007</v>
      </c>
      <c r="BC4" s="29">
        <v>9586</v>
      </c>
      <c r="BD4" s="29">
        <v>9601.2000000000007</v>
      </c>
      <c r="BE4" s="29">
        <v>9620.6</v>
      </c>
      <c r="BF4" s="29">
        <v>9584.6</v>
      </c>
      <c r="BG4" s="29">
        <v>9670.4</v>
      </c>
      <c r="BH4" s="30">
        <v>0</v>
      </c>
      <c r="BI4" s="30">
        <v>0</v>
      </c>
      <c r="BJ4" s="30">
        <v>0</v>
      </c>
      <c r="BK4" s="30">
        <v>0</v>
      </c>
      <c r="BL4" s="30">
        <v>0</v>
      </c>
      <c r="BM4" s="30">
        <v>0</v>
      </c>
    </row>
    <row r="5" spans="1:65" ht="15.75" thickBot="1" x14ac:dyDescent="0.3">
      <c r="A5" s="19" t="s">
        <v>286</v>
      </c>
      <c r="B5" s="19" t="s">
        <v>287</v>
      </c>
      <c r="C5" s="20">
        <v>1</v>
      </c>
      <c r="D5" s="20">
        <v>1</v>
      </c>
      <c r="E5" s="20">
        <v>1</v>
      </c>
      <c r="F5" s="20">
        <v>1</v>
      </c>
      <c r="G5" s="20">
        <v>1</v>
      </c>
      <c r="H5" s="20">
        <v>1</v>
      </c>
      <c r="I5" s="21">
        <v>2</v>
      </c>
      <c r="J5" s="22">
        <v>1.6</v>
      </c>
      <c r="K5" s="22">
        <v>1.71</v>
      </c>
      <c r="L5" s="22">
        <v>1.76</v>
      </c>
      <c r="M5" s="22">
        <v>1.87</v>
      </c>
      <c r="N5" s="22">
        <v>1.97</v>
      </c>
      <c r="O5" s="22">
        <v>1.97</v>
      </c>
      <c r="P5" s="91"/>
      <c r="Q5" s="91"/>
      <c r="R5" s="91"/>
      <c r="S5" s="91"/>
      <c r="T5" s="91"/>
      <c r="U5" s="91"/>
      <c r="V5" s="23">
        <v>60</v>
      </c>
      <c r="W5" s="23">
        <v>31</v>
      </c>
      <c r="X5" s="24">
        <v>60</v>
      </c>
      <c r="Y5" s="24">
        <v>60</v>
      </c>
      <c r="Z5" s="24">
        <v>60</v>
      </c>
      <c r="AA5" s="24">
        <v>60</v>
      </c>
      <c r="AB5" s="24">
        <v>60</v>
      </c>
      <c r="AC5" s="24">
        <v>60</v>
      </c>
      <c r="AD5" s="25">
        <v>0.11</v>
      </c>
      <c r="AE5" s="25">
        <v>0.04</v>
      </c>
      <c r="AF5" s="25">
        <v>0.04</v>
      </c>
      <c r="AG5" s="25">
        <v>0.03</v>
      </c>
      <c r="AH5" s="25">
        <v>0.03</v>
      </c>
      <c r="AI5" s="25">
        <v>0.03</v>
      </c>
      <c r="AJ5" s="26">
        <v>0.06</v>
      </c>
      <c r="AK5" s="26">
        <v>0.02</v>
      </c>
      <c r="AL5" s="26">
        <v>0.02</v>
      </c>
      <c r="AM5" s="26">
        <v>0.02</v>
      </c>
      <c r="AN5" s="26">
        <v>0.02</v>
      </c>
      <c r="AO5" s="26">
        <v>0.02</v>
      </c>
      <c r="AP5" s="27">
        <v>5.56</v>
      </c>
      <c r="AQ5" s="27">
        <v>2.0699999999999998</v>
      </c>
      <c r="AR5" s="27">
        <v>2.04</v>
      </c>
      <c r="AS5" s="27">
        <v>2.0099999999999998</v>
      </c>
      <c r="AT5" s="27">
        <v>1.98</v>
      </c>
      <c r="AU5" s="27">
        <v>1.95</v>
      </c>
      <c r="AV5" s="28">
        <v>5197.32</v>
      </c>
      <c r="AW5" s="28">
        <v>5751.6</v>
      </c>
      <c r="AX5" s="28">
        <v>5760.72</v>
      </c>
      <c r="AY5" s="28">
        <v>5772.36</v>
      </c>
      <c r="AZ5" s="28">
        <v>5750.76</v>
      </c>
      <c r="BA5" s="28">
        <v>5802.24</v>
      </c>
      <c r="BB5" s="29">
        <v>8662.2000000000007</v>
      </c>
      <c r="BC5" s="29">
        <v>9586</v>
      </c>
      <c r="BD5" s="29">
        <v>9601.2000000000007</v>
      </c>
      <c r="BE5" s="29">
        <v>9620.6</v>
      </c>
      <c r="BF5" s="29">
        <v>9584.6</v>
      </c>
      <c r="BG5" s="29">
        <v>9670.4</v>
      </c>
      <c r="BH5" s="30">
        <v>2000</v>
      </c>
      <c r="BI5" s="30">
        <v>757</v>
      </c>
      <c r="BJ5" s="30">
        <v>757</v>
      </c>
      <c r="BK5" s="30">
        <v>757</v>
      </c>
      <c r="BL5" s="30">
        <v>757</v>
      </c>
      <c r="BM5" s="30">
        <v>757</v>
      </c>
    </row>
    <row r="6" spans="1:65" ht="15.75" thickBot="1" x14ac:dyDescent="0.3">
      <c r="A6" s="19" t="s">
        <v>288</v>
      </c>
      <c r="B6" s="19" t="s">
        <v>271</v>
      </c>
      <c r="C6" s="20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1">
        <v>2</v>
      </c>
      <c r="J6" s="22">
        <v>1.6</v>
      </c>
      <c r="K6" s="22">
        <v>1.71</v>
      </c>
      <c r="L6" s="22">
        <v>1.76</v>
      </c>
      <c r="M6" s="22">
        <v>1.87</v>
      </c>
      <c r="N6" s="22">
        <v>1.97</v>
      </c>
      <c r="O6" s="22">
        <v>1.97</v>
      </c>
      <c r="P6" s="91"/>
      <c r="Q6" s="91"/>
      <c r="R6" s="91"/>
      <c r="S6" s="91"/>
      <c r="T6" s="91"/>
      <c r="U6" s="91"/>
      <c r="V6" s="23">
        <v>60</v>
      </c>
      <c r="W6" s="23">
        <v>31</v>
      </c>
      <c r="X6" s="24">
        <v>60</v>
      </c>
      <c r="Y6" s="24">
        <v>60</v>
      </c>
      <c r="Z6" s="24">
        <v>60</v>
      </c>
      <c r="AA6" s="24">
        <v>60</v>
      </c>
      <c r="AB6" s="24">
        <v>60</v>
      </c>
      <c r="AC6" s="24">
        <v>60</v>
      </c>
      <c r="AD6" s="25">
        <v>5.05</v>
      </c>
      <c r="AE6" s="25">
        <v>5.73</v>
      </c>
      <c r="AF6" s="25">
        <v>5.63</v>
      </c>
      <c r="AG6" s="25">
        <v>5.53</v>
      </c>
      <c r="AH6" s="25">
        <v>5.47</v>
      </c>
      <c r="AI6" s="25">
        <v>5.33</v>
      </c>
      <c r="AJ6" s="26">
        <v>3.03</v>
      </c>
      <c r="AK6" s="26">
        <v>3.44</v>
      </c>
      <c r="AL6" s="26">
        <v>3.38</v>
      </c>
      <c r="AM6" s="26">
        <v>3.32</v>
      </c>
      <c r="AN6" s="26">
        <v>3.28</v>
      </c>
      <c r="AO6" s="26">
        <v>3.2</v>
      </c>
      <c r="AP6" s="27">
        <v>262.26</v>
      </c>
      <c r="AQ6" s="27">
        <v>329.51</v>
      </c>
      <c r="AR6" s="27">
        <v>324.49</v>
      </c>
      <c r="AS6" s="27">
        <v>319.48</v>
      </c>
      <c r="AT6" s="27">
        <v>314.45999999999998</v>
      </c>
      <c r="AU6" s="27">
        <v>309.44</v>
      </c>
      <c r="AV6" s="28">
        <v>5197.32</v>
      </c>
      <c r="AW6" s="28">
        <v>5751.6</v>
      </c>
      <c r="AX6" s="28">
        <v>5760.72</v>
      </c>
      <c r="AY6" s="28">
        <v>5772.36</v>
      </c>
      <c r="AZ6" s="28">
        <v>5750.76</v>
      </c>
      <c r="BA6" s="28">
        <v>5802.24</v>
      </c>
      <c r="BB6" s="29">
        <v>8662.2000000000007</v>
      </c>
      <c r="BC6" s="29">
        <v>9586</v>
      </c>
      <c r="BD6" s="29">
        <v>9601.2000000000007</v>
      </c>
      <c r="BE6" s="29">
        <v>9620.6</v>
      </c>
      <c r="BF6" s="29">
        <v>9584.6</v>
      </c>
      <c r="BG6" s="29">
        <v>9670.4</v>
      </c>
      <c r="BH6" s="30">
        <v>125885</v>
      </c>
      <c r="BI6" s="30">
        <v>160574</v>
      </c>
      <c r="BJ6" s="30">
        <v>160574</v>
      </c>
      <c r="BK6" s="30">
        <v>160574</v>
      </c>
      <c r="BL6" s="30">
        <v>160574</v>
      </c>
      <c r="BM6" s="30">
        <v>160574</v>
      </c>
    </row>
    <row r="7" spans="1:65" ht="15.75" thickBot="1" x14ac:dyDescent="0.3">
      <c r="A7" s="19" t="s">
        <v>289</v>
      </c>
      <c r="B7" s="19" t="s">
        <v>272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1">
        <v>2</v>
      </c>
      <c r="J7" s="22">
        <v>1.6</v>
      </c>
      <c r="K7" s="22">
        <v>1.71</v>
      </c>
      <c r="L7" s="22">
        <v>1.76</v>
      </c>
      <c r="M7" s="22">
        <v>1.87</v>
      </c>
      <c r="N7" s="22">
        <v>1.97</v>
      </c>
      <c r="O7" s="22">
        <v>1.97</v>
      </c>
      <c r="P7" s="91"/>
      <c r="Q7" s="91"/>
      <c r="R7" s="91"/>
      <c r="S7" s="91"/>
      <c r="T7" s="91"/>
      <c r="U7" s="91"/>
      <c r="V7" s="23">
        <v>60</v>
      </c>
      <c r="W7" s="23">
        <v>31</v>
      </c>
      <c r="X7" s="24">
        <v>60</v>
      </c>
      <c r="Y7" s="24">
        <v>60</v>
      </c>
      <c r="Z7" s="24">
        <v>60</v>
      </c>
      <c r="AA7" s="24">
        <v>60</v>
      </c>
      <c r="AB7" s="24">
        <v>60</v>
      </c>
      <c r="AC7" s="24">
        <v>60</v>
      </c>
      <c r="AD7" s="25">
        <v>4.88</v>
      </c>
      <c r="AE7" s="25">
        <v>5.63</v>
      </c>
      <c r="AF7" s="25">
        <v>5.53</v>
      </c>
      <c r="AG7" s="25">
        <v>5.44</v>
      </c>
      <c r="AH7" s="25">
        <v>5.37</v>
      </c>
      <c r="AI7" s="25">
        <v>5.24</v>
      </c>
      <c r="AJ7" s="26">
        <v>2.93</v>
      </c>
      <c r="AK7" s="26">
        <v>3.38</v>
      </c>
      <c r="AL7" s="26">
        <v>3.32</v>
      </c>
      <c r="AM7" s="26">
        <v>3.26</v>
      </c>
      <c r="AN7" s="26">
        <v>3.22</v>
      </c>
      <c r="AO7" s="26">
        <v>3.14</v>
      </c>
      <c r="AP7" s="27">
        <v>253.42</v>
      </c>
      <c r="AQ7" s="27">
        <v>323.68</v>
      </c>
      <c r="AR7" s="27">
        <v>318.75</v>
      </c>
      <c r="AS7" s="27">
        <v>313.82</v>
      </c>
      <c r="AT7" s="27">
        <v>308.89</v>
      </c>
      <c r="AU7" s="27">
        <v>303.95999999999998</v>
      </c>
      <c r="AV7" s="28">
        <v>5197.32</v>
      </c>
      <c r="AW7" s="28">
        <v>5751.6</v>
      </c>
      <c r="AX7" s="28">
        <v>5760.72</v>
      </c>
      <c r="AY7" s="28">
        <v>5772.36</v>
      </c>
      <c r="AZ7" s="28">
        <v>5750.76</v>
      </c>
      <c r="BA7" s="28">
        <v>5802.24</v>
      </c>
      <c r="BB7" s="29">
        <v>8662.2000000000007</v>
      </c>
      <c r="BC7" s="29">
        <v>9586</v>
      </c>
      <c r="BD7" s="29">
        <v>9601.2000000000007</v>
      </c>
      <c r="BE7" s="29">
        <v>9620.6</v>
      </c>
      <c r="BF7" s="29">
        <v>9584.6</v>
      </c>
      <c r="BG7" s="29">
        <v>9670.4</v>
      </c>
      <c r="BH7" s="30">
        <v>121640</v>
      </c>
      <c r="BI7" s="30">
        <v>157730</v>
      </c>
      <c r="BJ7" s="30">
        <v>157730</v>
      </c>
      <c r="BK7" s="30">
        <v>157730</v>
      </c>
      <c r="BL7" s="30">
        <v>157730</v>
      </c>
      <c r="BM7" s="30">
        <v>157730</v>
      </c>
    </row>
    <row r="8" spans="1:65" ht="15.75" thickBot="1" x14ac:dyDescent="0.3">
      <c r="A8" s="19" t="s">
        <v>290</v>
      </c>
      <c r="B8" s="19" t="s">
        <v>273</v>
      </c>
      <c r="C8" s="20">
        <v>1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1">
        <v>2</v>
      </c>
      <c r="J8" s="22">
        <v>1.6</v>
      </c>
      <c r="K8" s="22">
        <v>1.71</v>
      </c>
      <c r="L8" s="22">
        <v>1.76</v>
      </c>
      <c r="M8" s="22">
        <v>1.87</v>
      </c>
      <c r="N8" s="22">
        <v>1.97</v>
      </c>
      <c r="O8" s="22">
        <v>1.97</v>
      </c>
      <c r="P8" s="91"/>
      <c r="Q8" s="91"/>
      <c r="R8" s="91"/>
      <c r="S8" s="91"/>
      <c r="T8" s="91"/>
      <c r="U8" s="91"/>
      <c r="V8" s="23">
        <v>60</v>
      </c>
      <c r="W8" s="23">
        <v>31</v>
      </c>
      <c r="X8" s="24">
        <v>60</v>
      </c>
      <c r="Y8" s="24">
        <v>60</v>
      </c>
      <c r="Z8" s="24">
        <v>60</v>
      </c>
      <c r="AA8" s="24">
        <v>60</v>
      </c>
      <c r="AB8" s="24">
        <v>60</v>
      </c>
      <c r="AC8" s="24">
        <v>60</v>
      </c>
      <c r="AD8" s="25">
        <v>2.1800000000000002</v>
      </c>
      <c r="AE8" s="25">
        <v>1.3</v>
      </c>
      <c r="AF8" s="25">
        <v>1.28</v>
      </c>
      <c r="AG8" s="25">
        <v>1.26</v>
      </c>
      <c r="AH8" s="25">
        <v>1.24</v>
      </c>
      <c r="AI8" s="25">
        <v>1.21</v>
      </c>
      <c r="AJ8" s="26">
        <v>1.31</v>
      </c>
      <c r="AK8" s="26">
        <v>0.78</v>
      </c>
      <c r="AL8" s="26">
        <v>0.77</v>
      </c>
      <c r="AM8" s="26">
        <v>0.75</v>
      </c>
      <c r="AN8" s="26">
        <v>0.75</v>
      </c>
      <c r="AO8" s="26">
        <v>0.73</v>
      </c>
      <c r="AP8" s="27">
        <v>113.41</v>
      </c>
      <c r="AQ8" s="27">
        <v>74.88</v>
      </c>
      <c r="AR8" s="27">
        <v>73.739999999999995</v>
      </c>
      <c r="AS8" s="27">
        <v>72.599999999999994</v>
      </c>
      <c r="AT8" s="27">
        <v>71.459999999999994</v>
      </c>
      <c r="AU8" s="27">
        <v>70.319999999999993</v>
      </c>
      <c r="AV8" s="28">
        <v>5197.32</v>
      </c>
      <c r="AW8" s="28">
        <v>5751.6</v>
      </c>
      <c r="AX8" s="28">
        <v>5760.72</v>
      </c>
      <c r="AY8" s="28">
        <v>5772.36</v>
      </c>
      <c r="AZ8" s="28">
        <v>5750.76</v>
      </c>
      <c r="BA8" s="28">
        <v>5802.24</v>
      </c>
      <c r="BB8" s="29">
        <v>8662.2000000000007</v>
      </c>
      <c r="BC8" s="29">
        <v>9586</v>
      </c>
      <c r="BD8" s="29">
        <v>9601.2000000000007</v>
      </c>
      <c r="BE8" s="29">
        <v>9620.6</v>
      </c>
      <c r="BF8" s="29">
        <v>9584.6</v>
      </c>
      <c r="BG8" s="29">
        <v>9670.4</v>
      </c>
      <c r="BH8" s="30">
        <v>54436</v>
      </c>
      <c r="BI8" s="30">
        <v>36490</v>
      </c>
      <c r="BJ8" s="30">
        <v>36490</v>
      </c>
      <c r="BK8" s="30">
        <v>36490</v>
      </c>
      <c r="BL8" s="30">
        <v>36490</v>
      </c>
      <c r="BM8" s="30">
        <v>36490</v>
      </c>
    </row>
    <row r="9" spans="1:65" ht="15.75" thickBot="1" x14ac:dyDescent="0.3">
      <c r="A9" s="19" t="s">
        <v>291</v>
      </c>
      <c r="B9" s="19" t="s">
        <v>292</v>
      </c>
      <c r="C9" s="20">
        <v>1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1">
        <v>2</v>
      </c>
      <c r="J9" s="22">
        <v>1.6</v>
      </c>
      <c r="K9" s="22">
        <v>1.71</v>
      </c>
      <c r="L9" s="22">
        <v>1.76</v>
      </c>
      <c r="M9" s="22">
        <v>1.87</v>
      </c>
      <c r="N9" s="22">
        <v>1.97</v>
      </c>
      <c r="O9" s="22">
        <v>1.97</v>
      </c>
      <c r="P9" s="91"/>
      <c r="Q9" s="91"/>
      <c r="R9" s="91"/>
      <c r="S9" s="91"/>
      <c r="T9" s="91"/>
      <c r="U9" s="91"/>
      <c r="V9" s="23">
        <v>60</v>
      </c>
      <c r="W9" s="23">
        <v>31</v>
      </c>
      <c r="X9" s="24">
        <v>60</v>
      </c>
      <c r="Y9" s="24">
        <v>60</v>
      </c>
      <c r="Z9" s="24">
        <v>60</v>
      </c>
      <c r="AA9" s="24">
        <v>60</v>
      </c>
      <c r="AB9" s="24">
        <v>60</v>
      </c>
      <c r="AC9" s="24">
        <v>60</v>
      </c>
      <c r="AD9" s="25">
        <v>0.09</v>
      </c>
      <c r="AE9" s="25">
        <v>1.75</v>
      </c>
      <c r="AF9" s="25">
        <v>1.72</v>
      </c>
      <c r="AG9" s="25">
        <v>1.69</v>
      </c>
      <c r="AH9" s="25">
        <v>1.67</v>
      </c>
      <c r="AI9" s="25">
        <v>1.63</v>
      </c>
      <c r="AJ9" s="26">
        <v>0.05</v>
      </c>
      <c r="AK9" s="26">
        <v>1.05</v>
      </c>
      <c r="AL9" s="26">
        <v>1.03</v>
      </c>
      <c r="AM9" s="26">
        <v>1.02</v>
      </c>
      <c r="AN9" s="26">
        <v>1</v>
      </c>
      <c r="AO9" s="26">
        <v>0.98</v>
      </c>
      <c r="AP9" s="27">
        <v>4.55</v>
      </c>
      <c r="AQ9" s="27">
        <v>100.76</v>
      </c>
      <c r="AR9" s="27">
        <v>99.23</v>
      </c>
      <c r="AS9" s="27">
        <v>97.69</v>
      </c>
      <c r="AT9" s="27">
        <v>96.16</v>
      </c>
      <c r="AU9" s="27">
        <v>94.63</v>
      </c>
      <c r="AV9" s="28">
        <v>5197.32</v>
      </c>
      <c r="AW9" s="28">
        <v>5751.6</v>
      </c>
      <c r="AX9" s="28">
        <v>5760.72</v>
      </c>
      <c r="AY9" s="28">
        <v>5772.36</v>
      </c>
      <c r="AZ9" s="28">
        <v>5750.76</v>
      </c>
      <c r="BA9" s="28">
        <v>5802.24</v>
      </c>
      <c r="BB9" s="29">
        <v>8662.2000000000007</v>
      </c>
      <c r="BC9" s="29">
        <v>9586</v>
      </c>
      <c r="BD9" s="29">
        <v>9601.2000000000007</v>
      </c>
      <c r="BE9" s="29">
        <v>9620.6</v>
      </c>
      <c r="BF9" s="29">
        <v>9584.6</v>
      </c>
      <c r="BG9" s="29">
        <v>9670.4</v>
      </c>
      <c r="BH9" s="30">
        <v>1639</v>
      </c>
      <c r="BI9" s="30">
        <v>36827</v>
      </c>
      <c r="BJ9" s="30">
        <v>36827</v>
      </c>
      <c r="BK9" s="30">
        <v>36827</v>
      </c>
      <c r="BL9" s="30">
        <v>36827</v>
      </c>
      <c r="BM9" s="30">
        <v>36827</v>
      </c>
    </row>
    <row r="10" spans="1:65" ht="15.75" thickBot="1" x14ac:dyDescent="0.3">
      <c r="A10" s="19" t="s">
        <v>293</v>
      </c>
      <c r="B10" s="19" t="s">
        <v>274</v>
      </c>
      <c r="C10" s="20">
        <v>1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1">
        <v>2</v>
      </c>
      <c r="J10" s="22">
        <v>1.6</v>
      </c>
      <c r="K10" s="22">
        <v>1.71</v>
      </c>
      <c r="L10" s="22">
        <v>1.76</v>
      </c>
      <c r="M10" s="22">
        <v>1.87</v>
      </c>
      <c r="N10" s="22">
        <v>1.97</v>
      </c>
      <c r="O10" s="22">
        <v>1.97</v>
      </c>
      <c r="P10" s="91"/>
      <c r="Q10" s="91"/>
      <c r="R10" s="91"/>
      <c r="S10" s="91"/>
      <c r="T10" s="91"/>
      <c r="U10" s="91"/>
      <c r="V10" s="23">
        <v>60</v>
      </c>
      <c r="W10" s="23">
        <v>31</v>
      </c>
      <c r="X10" s="24">
        <v>60</v>
      </c>
      <c r="Y10" s="24">
        <v>60</v>
      </c>
      <c r="Z10" s="24">
        <v>60</v>
      </c>
      <c r="AA10" s="24">
        <v>60</v>
      </c>
      <c r="AB10" s="24">
        <v>60</v>
      </c>
      <c r="AC10" s="24">
        <v>60</v>
      </c>
      <c r="AD10" s="25">
        <v>0</v>
      </c>
      <c r="AE10" s="25">
        <v>1.1399999999999999</v>
      </c>
      <c r="AF10" s="25">
        <v>0</v>
      </c>
      <c r="AG10" s="25">
        <v>0</v>
      </c>
      <c r="AH10" s="25">
        <v>0</v>
      </c>
      <c r="AI10" s="25">
        <v>0</v>
      </c>
      <c r="AJ10" s="26">
        <v>0</v>
      </c>
      <c r="AK10" s="26">
        <v>0.69</v>
      </c>
      <c r="AL10" s="26">
        <v>0</v>
      </c>
      <c r="AM10" s="26">
        <v>0</v>
      </c>
      <c r="AN10" s="26">
        <v>0</v>
      </c>
      <c r="AO10" s="26">
        <v>0</v>
      </c>
      <c r="AP10" s="27">
        <v>0</v>
      </c>
      <c r="AQ10" s="27">
        <v>65.67</v>
      </c>
      <c r="AR10" s="27">
        <v>0</v>
      </c>
      <c r="AS10" s="27">
        <v>0</v>
      </c>
      <c r="AT10" s="27">
        <v>0</v>
      </c>
      <c r="AU10" s="27">
        <v>0</v>
      </c>
      <c r="AV10" s="28">
        <v>5197.32</v>
      </c>
      <c r="AW10" s="28">
        <v>5751.6</v>
      </c>
      <c r="AX10" s="28">
        <v>5760.72</v>
      </c>
      <c r="AY10" s="28">
        <v>5772.36</v>
      </c>
      <c r="AZ10" s="28">
        <v>5750.76</v>
      </c>
      <c r="BA10" s="28">
        <v>5802.24</v>
      </c>
      <c r="BB10" s="29">
        <v>8662.2000000000007</v>
      </c>
      <c r="BC10" s="29">
        <v>9586</v>
      </c>
      <c r="BD10" s="29">
        <v>9601.2000000000007</v>
      </c>
      <c r="BE10" s="29">
        <v>9620.6</v>
      </c>
      <c r="BF10" s="29">
        <v>9584.6</v>
      </c>
      <c r="BG10" s="29">
        <v>9670.4</v>
      </c>
      <c r="BH10" s="30">
        <v>0</v>
      </c>
      <c r="BI10" s="30">
        <v>24000</v>
      </c>
      <c r="BJ10" s="30">
        <v>0</v>
      </c>
      <c r="BK10" s="30">
        <v>0</v>
      </c>
      <c r="BL10" s="30">
        <v>0</v>
      </c>
      <c r="BM10" s="30">
        <v>0</v>
      </c>
    </row>
    <row r="11" spans="1:65" ht="15.75" thickBot="1" x14ac:dyDescent="0.3">
      <c r="A11" s="19" t="s">
        <v>294</v>
      </c>
      <c r="B11" s="19" t="s">
        <v>275</v>
      </c>
      <c r="C11" s="20">
        <v>1</v>
      </c>
      <c r="D11" s="20">
        <v>1</v>
      </c>
      <c r="E11" s="20">
        <v>1</v>
      </c>
      <c r="F11" s="20">
        <v>1</v>
      </c>
      <c r="G11" s="20">
        <v>1</v>
      </c>
      <c r="H11" s="20">
        <v>1</v>
      </c>
      <c r="I11" s="21">
        <v>2</v>
      </c>
      <c r="J11" s="22">
        <v>1.6</v>
      </c>
      <c r="K11" s="22">
        <v>1.71</v>
      </c>
      <c r="L11" s="22">
        <v>1.76</v>
      </c>
      <c r="M11" s="22">
        <v>1.87</v>
      </c>
      <c r="N11" s="22">
        <v>1.97</v>
      </c>
      <c r="O11" s="22">
        <v>1.97</v>
      </c>
      <c r="P11" s="91"/>
      <c r="Q11" s="91"/>
      <c r="R11" s="91"/>
      <c r="S11" s="91"/>
      <c r="T11" s="91"/>
      <c r="U11" s="91"/>
      <c r="V11" s="23">
        <v>60</v>
      </c>
      <c r="W11" s="23">
        <v>31</v>
      </c>
      <c r="X11" s="24">
        <v>60</v>
      </c>
      <c r="Y11" s="24">
        <v>60</v>
      </c>
      <c r="Z11" s="24">
        <v>60</v>
      </c>
      <c r="AA11" s="24">
        <v>60</v>
      </c>
      <c r="AB11" s="24">
        <v>60</v>
      </c>
      <c r="AC11" s="24">
        <v>60</v>
      </c>
      <c r="AD11" s="25">
        <v>0.34</v>
      </c>
      <c r="AE11" s="25">
        <v>0.5</v>
      </c>
      <c r="AF11" s="25">
        <v>0.49</v>
      </c>
      <c r="AG11" s="25">
        <v>0.48</v>
      </c>
      <c r="AH11" s="25">
        <v>0.47</v>
      </c>
      <c r="AI11" s="25">
        <v>0.46</v>
      </c>
      <c r="AJ11" s="26">
        <v>0.21</v>
      </c>
      <c r="AK11" s="26">
        <v>0.3</v>
      </c>
      <c r="AL11" s="26">
        <v>0.28999999999999998</v>
      </c>
      <c r="AM11" s="26">
        <v>0.28999999999999998</v>
      </c>
      <c r="AN11" s="26">
        <v>0.28000000000000003</v>
      </c>
      <c r="AO11" s="26">
        <v>0.28000000000000003</v>
      </c>
      <c r="AP11" s="27">
        <v>17.8</v>
      </c>
      <c r="AQ11" s="27">
        <v>28.58</v>
      </c>
      <c r="AR11" s="27">
        <v>28.14</v>
      </c>
      <c r="AS11" s="27">
        <v>27.71</v>
      </c>
      <c r="AT11" s="27">
        <v>27.27</v>
      </c>
      <c r="AU11" s="27">
        <v>26.84</v>
      </c>
      <c r="AV11" s="28">
        <v>5197.32</v>
      </c>
      <c r="AW11" s="28">
        <v>5751.6</v>
      </c>
      <c r="AX11" s="28">
        <v>5760.72</v>
      </c>
      <c r="AY11" s="28">
        <v>5772.36</v>
      </c>
      <c r="AZ11" s="28">
        <v>5750.76</v>
      </c>
      <c r="BA11" s="28">
        <v>5802.24</v>
      </c>
      <c r="BB11" s="29">
        <v>8662.2000000000007</v>
      </c>
      <c r="BC11" s="29">
        <v>9586</v>
      </c>
      <c r="BD11" s="29">
        <v>9601.2000000000007</v>
      </c>
      <c r="BE11" s="29">
        <v>9620.6</v>
      </c>
      <c r="BF11" s="29">
        <v>9584.6</v>
      </c>
      <c r="BG11" s="29">
        <v>9670.4</v>
      </c>
      <c r="BH11" s="30">
        <v>6409</v>
      </c>
      <c r="BI11" s="30">
        <v>10444</v>
      </c>
      <c r="BJ11" s="30">
        <v>10444</v>
      </c>
      <c r="BK11" s="30">
        <v>10444</v>
      </c>
      <c r="BL11" s="30">
        <v>10444</v>
      </c>
      <c r="BM11" s="30">
        <v>10444</v>
      </c>
    </row>
    <row r="12" spans="1:65" ht="15.75" thickBot="1" x14ac:dyDescent="0.3">
      <c r="A12" s="19" t="s">
        <v>295</v>
      </c>
      <c r="B12" s="19" t="s">
        <v>276</v>
      </c>
      <c r="C12" s="20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1">
        <v>2</v>
      </c>
      <c r="J12" s="22">
        <v>1.6</v>
      </c>
      <c r="K12" s="22">
        <v>1.71</v>
      </c>
      <c r="L12" s="22">
        <v>1.76</v>
      </c>
      <c r="M12" s="22">
        <v>1.87</v>
      </c>
      <c r="N12" s="22">
        <v>1.97</v>
      </c>
      <c r="O12" s="22">
        <v>1.97</v>
      </c>
      <c r="P12" s="91"/>
      <c r="Q12" s="91"/>
      <c r="R12" s="91"/>
      <c r="S12" s="91"/>
      <c r="T12" s="91"/>
      <c r="U12" s="91"/>
      <c r="V12" s="23">
        <v>60</v>
      </c>
      <c r="W12" s="23">
        <v>31</v>
      </c>
      <c r="X12" s="24">
        <v>60</v>
      </c>
      <c r="Y12" s="24">
        <v>60</v>
      </c>
      <c r="Z12" s="24">
        <v>60</v>
      </c>
      <c r="AA12" s="24">
        <v>60</v>
      </c>
      <c r="AB12" s="24">
        <v>60</v>
      </c>
      <c r="AC12" s="24">
        <v>60</v>
      </c>
      <c r="AD12" s="25">
        <v>0.47</v>
      </c>
      <c r="AE12" s="25">
        <v>0.31</v>
      </c>
      <c r="AF12" s="25">
        <v>0.3</v>
      </c>
      <c r="AG12" s="25">
        <v>0.3</v>
      </c>
      <c r="AH12" s="25">
        <v>0.28999999999999998</v>
      </c>
      <c r="AI12" s="25">
        <v>0.28000000000000003</v>
      </c>
      <c r="AJ12" s="26">
        <v>0.28000000000000003</v>
      </c>
      <c r="AK12" s="26">
        <v>0.18</v>
      </c>
      <c r="AL12" s="26">
        <v>0.18</v>
      </c>
      <c r="AM12" s="26">
        <v>0.18</v>
      </c>
      <c r="AN12" s="26">
        <v>0.18</v>
      </c>
      <c r="AO12" s="26">
        <v>0.17</v>
      </c>
      <c r="AP12" s="27">
        <v>24.63</v>
      </c>
      <c r="AQ12" s="27">
        <v>17.59</v>
      </c>
      <c r="AR12" s="27">
        <v>17.329999999999998</v>
      </c>
      <c r="AS12" s="27">
        <v>17.059999999999999</v>
      </c>
      <c r="AT12" s="27">
        <v>16.79</v>
      </c>
      <c r="AU12" s="27">
        <v>16.52</v>
      </c>
      <c r="AV12" s="28">
        <v>5197.32</v>
      </c>
      <c r="AW12" s="28">
        <v>5751.6</v>
      </c>
      <c r="AX12" s="28">
        <v>5760.72</v>
      </c>
      <c r="AY12" s="28">
        <v>5772.36</v>
      </c>
      <c r="AZ12" s="28">
        <v>5750.76</v>
      </c>
      <c r="BA12" s="28">
        <v>5802.24</v>
      </c>
      <c r="BB12" s="29">
        <v>8662.2000000000007</v>
      </c>
      <c r="BC12" s="29">
        <v>9586</v>
      </c>
      <c r="BD12" s="29">
        <v>9601.2000000000007</v>
      </c>
      <c r="BE12" s="29">
        <v>9620.6</v>
      </c>
      <c r="BF12" s="29">
        <v>9584.6</v>
      </c>
      <c r="BG12" s="29">
        <v>9670.4</v>
      </c>
      <c r="BH12" s="30">
        <v>8866</v>
      </c>
      <c r="BI12" s="30">
        <v>6430</v>
      </c>
      <c r="BJ12" s="30">
        <v>6430</v>
      </c>
      <c r="BK12" s="30">
        <v>6430</v>
      </c>
      <c r="BL12" s="30">
        <v>6430</v>
      </c>
      <c r="BM12" s="30">
        <v>6430</v>
      </c>
    </row>
    <row r="13" spans="1:65" ht="15.75" thickBot="1" x14ac:dyDescent="0.3">
      <c r="A13" s="19" t="s">
        <v>296</v>
      </c>
      <c r="B13" s="19" t="s">
        <v>297</v>
      </c>
      <c r="C13" s="20">
        <v>1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1">
        <v>2</v>
      </c>
      <c r="J13" s="22">
        <v>1.6</v>
      </c>
      <c r="K13" s="22">
        <v>1.71</v>
      </c>
      <c r="L13" s="22">
        <v>1.76</v>
      </c>
      <c r="M13" s="22">
        <v>1.87</v>
      </c>
      <c r="N13" s="22">
        <v>1.97</v>
      </c>
      <c r="O13" s="22">
        <v>1.97</v>
      </c>
      <c r="P13" s="91"/>
      <c r="Q13" s="91"/>
      <c r="R13" s="91"/>
      <c r="S13" s="91"/>
      <c r="T13" s="91"/>
      <c r="U13" s="91"/>
      <c r="V13" s="23">
        <v>60</v>
      </c>
      <c r="W13" s="23">
        <v>31</v>
      </c>
      <c r="X13" s="24">
        <v>60</v>
      </c>
      <c r="Y13" s="24">
        <v>60</v>
      </c>
      <c r="Z13" s="24">
        <v>60</v>
      </c>
      <c r="AA13" s="24">
        <v>60</v>
      </c>
      <c r="AB13" s="24">
        <v>60</v>
      </c>
      <c r="AC13" s="24">
        <v>60</v>
      </c>
      <c r="AD13" s="25">
        <v>0.91</v>
      </c>
      <c r="AE13" s="25">
        <v>0.61</v>
      </c>
      <c r="AF13" s="25">
        <v>0.6</v>
      </c>
      <c r="AG13" s="25">
        <v>0.59</v>
      </c>
      <c r="AH13" s="25">
        <v>0.57999999999999996</v>
      </c>
      <c r="AI13" s="25">
        <v>0.56999999999999995</v>
      </c>
      <c r="AJ13" s="26">
        <v>0.55000000000000004</v>
      </c>
      <c r="AK13" s="26">
        <v>0.37</v>
      </c>
      <c r="AL13" s="26">
        <v>0.36</v>
      </c>
      <c r="AM13" s="26">
        <v>0.35</v>
      </c>
      <c r="AN13" s="26">
        <v>0.35</v>
      </c>
      <c r="AO13" s="26">
        <v>0.34</v>
      </c>
      <c r="AP13" s="27">
        <v>47.22</v>
      </c>
      <c r="AQ13" s="27">
        <v>35.21</v>
      </c>
      <c r="AR13" s="27">
        <v>34.68</v>
      </c>
      <c r="AS13" s="27">
        <v>34.14</v>
      </c>
      <c r="AT13" s="27">
        <v>33.61</v>
      </c>
      <c r="AU13" s="27">
        <v>33.07</v>
      </c>
      <c r="AV13" s="28">
        <v>5197.32</v>
      </c>
      <c r="AW13" s="28">
        <v>5751.6</v>
      </c>
      <c r="AX13" s="28">
        <v>5760.72</v>
      </c>
      <c r="AY13" s="28">
        <v>5772.36</v>
      </c>
      <c r="AZ13" s="28">
        <v>5750.76</v>
      </c>
      <c r="BA13" s="28">
        <v>5802.24</v>
      </c>
      <c r="BB13" s="29">
        <v>8662.2000000000007</v>
      </c>
      <c r="BC13" s="29">
        <v>9586</v>
      </c>
      <c r="BD13" s="29">
        <v>9601.2000000000007</v>
      </c>
      <c r="BE13" s="29">
        <v>9620.6</v>
      </c>
      <c r="BF13" s="29">
        <v>9584.6</v>
      </c>
      <c r="BG13" s="29">
        <v>9670.4</v>
      </c>
      <c r="BH13" s="30">
        <v>17000</v>
      </c>
      <c r="BI13" s="30">
        <v>12870</v>
      </c>
      <c r="BJ13" s="30">
        <v>12870</v>
      </c>
      <c r="BK13" s="30">
        <v>12870</v>
      </c>
      <c r="BL13" s="30">
        <v>12870</v>
      </c>
      <c r="BM13" s="30">
        <v>12870</v>
      </c>
    </row>
    <row r="14" spans="1:65" ht="15.75" thickBot="1" x14ac:dyDescent="0.3">
      <c r="A14" s="19" t="s">
        <v>298</v>
      </c>
      <c r="B14" s="19" t="s">
        <v>277</v>
      </c>
      <c r="C14" s="20">
        <v>1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1">
        <v>2</v>
      </c>
      <c r="J14" s="22">
        <v>1.6</v>
      </c>
      <c r="K14" s="22">
        <v>1.71</v>
      </c>
      <c r="L14" s="22">
        <v>1.76</v>
      </c>
      <c r="M14" s="22">
        <v>1.87</v>
      </c>
      <c r="N14" s="22">
        <v>1.97</v>
      </c>
      <c r="O14" s="22">
        <v>1.97</v>
      </c>
      <c r="P14" s="91"/>
      <c r="Q14" s="91"/>
      <c r="R14" s="91"/>
      <c r="S14" s="91"/>
      <c r="T14" s="91"/>
      <c r="U14" s="91"/>
      <c r="V14" s="23">
        <v>60</v>
      </c>
      <c r="W14" s="23">
        <v>31</v>
      </c>
      <c r="X14" s="24">
        <v>60</v>
      </c>
      <c r="Y14" s="24">
        <v>60</v>
      </c>
      <c r="Z14" s="24">
        <v>60</v>
      </c>
      <c r="AA14" s="24">
        <v>60</v>
      </c>
      <c r="AB14" s="24">
        <v>60</v>
      </c>
      <c r="AC14" s="24">
        <v>60</v>
      </c>
      <c r="AD14" s="25">
        <v>0.34</v>
      </c>
      <c r="AE14" s="25">
        <v>0.13</v>
      </c>
      <c r="AF14" s="25">
        <v>0.13</v>
      </c>
      <c r="AG14" s="25">
        <v>0.13</v>
      </c>
      <c r="AH14" s="25">
        <v>0.13</v>
      </c>
      <c r="AI14" s="25">
        <v>0.12</v>
      </c>
      <c r="AJ14" s="26">
        <v>0.2</v>
      </c>
      <c r="AK14" s="26">
        <v>0.08</v>
      </c>
      <c r="AL14" s="26">
        <v>0.08</v>
      </c>
      <c r="AM14" s="26">
        <v>0.08</v>
      </c>
      <c r="AN14" s="26">
        <v>0.08</v>
      </c>
      <c r="AO14" s="26">
        <v>7.0000000000000007E-2</v>
      </c>
      <c r="AP14" s="27">
        <v>17.55</v>
      </c>
      <c r="AQ14" s="27">
        <v>7.65</v>
      </c>
      <c r="AR14" s="27">
        <v>7.54</v>
      </c>
      <c r="AS14" s="27">
        <v>7.42</v>
      </c>
      <c r="AT14" s="27">
        <v>7.3</v>
      </c>
      <c r="AU14" s="27">
        <v>7.19</v>
      </c>
      <c r="AV14" s="28">
        <v>5197.32</v>
      </c>
      <c r="AW14" s="28">
        <v>5751.6</v>
      </c>
      <c r="AX14" s="28">
        <v>5760.72</v>
      </c>
      <c r="AY14" s="28">
        <v>5772.36</v>
      </c>
      <c r="AZ14" s="28">
        <v>5750.76</v>
      </c>
      <c r="BA14" s="28">
        <v>5802.24</v>
      </c>
      <c r="BB14" s="29">
        <v>8662.2000000000007</v>
      </c>
      <c r="BC14" s="29">
        <v>9586</v>
      </c>
      <c r="BD14" s="29">
        <v>9601.2000000000007</v>
      </c>
      <c r="BE14" s="29">
        <v>9620.6</v>
      </c>
      <c r="BF14" s="29">
        <v>9584.6</v>
      </c>
      <c r="BG14" s="29">
        <v>9670.4</v>
      </c>
      <c r="BH14" s="30">
        <v>7369</v>
      </c>
      <c r="BI14" s="30">
        <v>3263</v>
      </c>
      <c r="BJ14" s="30">
        <v>3263</v>
      </c>
      <c r="BK14" s="30">
        <v>3263</v>
      </c>
      <c r="BL14" s="30">
        <v>3263</v>
      </c>
      <c r="BM14" s="30">
        <v>3263</v>
      </c>
    </row>
    <row r="15" spans="1:65" ht="15.75" thickBot="1" x14ac:dyDescent="0.3">
      <c r="A15" s="19" t="s">
        <v>299</v>
      </c>
      <c r="B15" s="19" t="s">
        <v>300</v>
      </c>
      <c r="C15" s="20">
        <v>1</v>
      </c>
      <c r="D15" s="20">
        <v>1</v>
      </c>
      <c r="E15" s="20">
        <v>1</v>
      </c>
      <c r="F15" s="20">
        <v>1</v>
      </c>
      <c r="G15" s="20">
        <v>1</v>
      </c>
      <c r="H15" s="20">
        <v>1</v>
      </c>
      <c r="I15" s="21">
        <v>2</v>
      </c>
      <c r="J15" s="22">
        <v>1.6</v>
      </c>
      <c r="K15" s="22">
        <v>1.71</v>
      </c>
      <c r="L15" s="22">
        <v>1.76</v>
      </c>
      <c r="M15" s="22">
        <v>1.87</v>
      </c>
      <c r="N15" s="22">
        <v>1.97</v>
      </c>
      <c r="O15" s="22">
        <v>1.97</v>
      </c>
      <c r="P15" s="91"/>
      <c r="Q15" s="91"/>
      <c r="R15" s="91"/>
      <c r="S15" s="91"/>
      <c r="T15" s="91"/>
      <c r="U15" s="91"/>
      <c r="V15" s="23">
        <v>60</v>
      </c>
      <c r="W15" s="23">
        <v>31</v>
      </c>
      <c r="X15" s="24">
        <v>60</v>
      </c>
      <c r="Y15" s="24">
        <v>60</v>
      </c>
      <c r="Z15" s="24">
        <v>60</v>
      </c>
      <c r="AA15" s="24">
        <v>60</v>
      </c>
      <c r="AB15" s="24">
        <v>60</v>
      </c>
      <c r="AC15" s="24">
        <v>60</v>
      </c>
      <c r="AD15" s="25">
        <v>0.91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6">
        <v>0.55000000000000004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7">
        <v>47.22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8">
        <v>5197.32</v>
      </c>
      <c r="AW15" s="28">
        <v>5751.6</v>
      </c>
      <c r="AX15" s="28">
        <v>5760.72</v>
      </c>
      <c r="AY15" s="28">
        <v>5772.36</v>
      </c>
      <c r="AZ15" s="28">
        <v>5750.76</v>
      </c>
      <c r="BA15" s="28">
        <v>5802.24</v>
      </c>
      <c r="BB15" s="29">
        <v>8662.2000000000007</v>
      </c>
      <c r="BC15" s="29">
        <v>9586</v>
      </c>
      <c r="BD15" s="29">
        <v>9601.2000000000007</v>
      </c>
      <c r="BE15" s="29">
        <v>9620.6</v>
      </c>
      <c r="BF15" s="29">
        <v>9584.6</v>
      </c>
      <c r="BG15" s="29">
        <v>9670.4</v>
      </c>
      <c r="BH15" s="30">
        <v>17000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</row>
    <row r="16" spans="1:65" ht="15.75" thickBot="1" x14ac:dyDescent="0.3">
      <c r="A16" s="19" t="s">
        <v>301</v>
      </c>
      <c r="B16" s="19" t="s">
        <v>278</v>
      </c>
      <c r="C16" s="20">
        <v>1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1">
        <v>2</v>
      </c>
      <c r="J16" s="22">
        <v>1.6</v>
      </c>
      <c r="K16" s="22">
        <v>1.71</v>
      </c>
      <c r="L16" s="22">
        <v>1.76</v>
      </c>
      <c r="M16" s="22">
        <v>1.87</v>
      </c>
      <c r="N16" s="22">
        <v>1.97</v>
      </c>
      <c r="O16" s="22">
        <v>1.97</v>
      </c>
      <c r="P16" s="91"/>
      <c r="Q16" s="91"/>
      <c r="R16" s="91"/>
      <c r="S16" s="91"/>
      <c r="T16" s="91"/>
      <c r="U16" s="91"/>
      <c r="V16" s="23">
        <v>60</v>
      </c>
      <c r="W16" s="23">
        <v>31</v>
      </c>
      <c r="X16" s="24">
        <v>60</v>
      </c>
      <c r="Y16" s="24">
        <v>60</v>
      </c>
      <c r="Z16" s="24">
        <v>60</v>
      </c>
      <c r="AA16" s="24">
        <v>60</v>
      </c>
      <c r="AB16" s="24">
        <v>60</v>
      </c>
      <c r="AC16" s="24">
        <v>60</v>
      </c>
      <c r="AD16" s="25">
        <v>0.96</v>
      </c>
      <c r="AE16" s="25">
        <v>0.48</v>
      </c>
      <c r="AF16" s="25">
        <v>0.47</v>
      </c>
      <c r="AG16" s="25">
        <v>0.46</v>
      </c>
      <c r="AH16" s="25">
        <v>0.46</v>
      </c>
      <c r="AI16" s="25">
        <v>0.45</v>
      </c>
      <c r="AJ16" s="26">
        <v>0.57999999999999996</v>
      </c>
      <c r="AK16" s="26">
        <v>0.28999999999999998</v>
      </c>
      <c r="AL16" s="26">
        <v>0.28000000000000003</v>
      </c>
      <c r="AM16" s="26">
        <v>0.28000000000000003</v>
      </c>
      <c r="AN16" s="26">
        <v>0.27</v>
      </c>
      <c r="AO16" s="26">
        <v>0.27</v>
      </c>
      <c r="AP16" s="27">
        <v>50</v>
      </c>
      <c r="AQ16" s="27">
        <v>27.55</v>
      </c>
      <c r="AR16" s="27">
        <v>27.13</v>
      </c>
      <c r="AS16" s="27">
        <v>26.71</v>
      </c>
      <c r="AT16" s="27">
        <v>26.29</v>
      </c>
      <c r="AU16" s="27">
        <v>25.87</v>
      </c>
      <c r="AV16" s="28">
        <v>5197.32</v>
      </c>
      <c r="AW16" s="28">
        <v>5751.6</v>
      </c>
      <c r="AX16" s="28">
        <v>5760.72</v>
      </c>
      <c r="AY16" s="28">
        <v>5772.36</v>
      </c>
      <c r="AZ16" s="28">
        <v>5750.76</v>
      </c>
      <c r="BA16" s="28">
        <v>5802.24</v>
      </c>
      <c r="BB16" s="29">
        <v>8662.2000000000007</v>
      </c>
      <c r="BC16" s="29">
        <v>9586</v>
      </c>
      <c r="BD16" s="29">
        <v>9601.2000000000007</v>
      </c>
      <c r="BE16" s="29">
        <v>9620.6</v>
      </c>
      <c r="BF16" s="29">
        <v>9584.6</v>
      </c>
      <c r="BG16" s="29">
        <v>9670.4</v>
      </c>
      <c r="BH16" s="30">
        <v>18000</v>
      </c>
      <c r="BI16" s="30">
        <v>10070</v>
      </c>
      <c r="BJ16" s="30">
        <v>10070</v>
      </c>
      <c r="BK16" s="30">
        <v>10070</v>
      </c>
      <c r="BL16" s="30">
        <v>10070</v>
      </c>
      <c r="BM16" s="30">
        <v>10070</v>
      </c>
    </row>
    <row r="17" spans="1:65" ht="15.75" thickBot="1" x14ac:dyDescent="0.3">
      <c r="A17" s="19" t="s">
        <v>302</v>
      </c>
      <c r="B17" s="19" t="s">
        <v>279</v>
      </c>
      <c r="C17" s="20">
        <v>1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1">
        <v>2</v>
      </c>
      <c r="J17" s="22">
        <v>1.6</v>
      </c>
      <c r="K17" s="22">
        <v>1.71</v>
      </c>
      <c r="L17" s="22">
        <v>1.76</v>
      </c>
      <c r="M17" s="22">
        <v>1.87</v>
      </c>
      <c r="N17" s="22">
        <v>1.97</v>
      </c>
      <c r="O17" s="22">
        <v>1.97</v>
      </c>
      <c r="P17" s="91"/>
      <c r="Q17" s="91"/>
      <c r="R17" s="91"/>
      <c r="S17" s="91"/>
      <c r="T17" s="91"/>
      <c r="U17" s="91"/>
      <c r="V17" s="23">
        <v>60</v>
      </c>
      <c r="W17" s="23">
        <v>31</v>
      </c>
      <c r="X17" s="24">
        <v>60</v>
      </c>
      <c r="Y17" s="24">
        <v>60</v>
      </c>
      <c r="Z17" s="24">
        <v>60</v>
      </c>
      <c r="AA17" s="24">
        <v>60</v>
      </c>
      <c r="AB17" s="24">
        <v>60</v>
      </c>
      <c r="AC17" s="24">
        <v>60</v>
      </c>
      <c r="AD17" s="25">
        <v>2.91</v>
      </c>
      <c r="AE17" s="25">
        <v>4.9400000000000004</v>
      </c>
      <c r="AF17" s="25">
        <v>4.8499999999999996</v>
      </c>
      <c r="AG17" s="25">
        <v>4.7699999999999996</v>
      </c>
      <c r="AH17" s="25">
        <v>4.71</v>
      </c>
      <c r="AI17" s="25">
        <v>4.5999999999999996</v>
      </c>
      <c r="AJ17" s="26">
        <v>1.75</v>
      </c>
      <c r="AK17" s="26">
        <v>2.96</v>
      </c>
      <c r="AL17" s="26">
        <v>2.91</v>
      </c>
      <c r="AM17" s="26">
        <v>2.86</v>
      </c>
      <c r="AN17" s="26">
        <v>2.83</v>
      </c>
      <c r="AO17" s="26">
        <v>2.76</v>
      </c>
      <c r="AP17" s="27">
        <v>151.44999999999999</v>
      </c>
      <c r="AQ17" s="27">
        <v>283.97000000000003</v>
      </c>
      <c r="AR17" s="27">
        <v>279.64999999999998</v>
      </c>
      <c r="AS17" s="27">
        <v>275.32</v>
      </c>
      <c r="AT17" s="27">
        <v>271</v>
      </c>
      <c r="AU17" s="27">
        <v>266.68</v>
      </c>
      <c r="AV17" s="28">
        <v>5197.32</v>
      </c>
      <c r="AW17" s="28">
        <v>5751.6</v>
      </c>
      <c r="AX17" s="28">
        <v>5760.72</v>
      </c>
      <c r="AY17" s="28">
        <v>5772.36</v>
      </c>
      <c r="AZ17" s="28">
        <v>5750.76</v>
      </c>
      <c r="BA17" s="28">
        <v>5802.24</v>
      </c>
      <c r="BB17" s="29">
        <v>8662.2000000000007</v>
      </c>
      <c r="BC17" s="29">
        <v>9586</v>
      </c>
      <c r="BD17" s="29">
        <v>9601.2000000000007</v>
      </c>
      <c r="BE17" s="29">
        <v>9620.6</v>
      </c>
      <c r="BF17" s="29">
        <v>9584.6</v>
      </c>
      <c r="BG17" s="29">
        <v>9670.4</v>
      </c>
      <c r="BH17" s="30">
        <v>72698</v>
      </c>
      <c r="BI17" s="30">
        <v>138383</v>
      </c>
      <c r="BJ17" s="30">
        <v>138383</v>
      </c>
      <c r="BK17" s="30">
        <v>138383</v>
      </c>
      <c r="BL17" s="30">
        <v>138383</v>
      </c>
      <c r="BM17" s="30">
        <v>138383</v>
      </c>
    </row>
    <row r="18" spans="1:65" ht="15.75" thickBot="1" x14ac:dyDescent="0.3">
      <c r="A18" s="19" t="s">
        <v>303</v>
      </c>
      <c r="B18" s="19" t="s">
        <v>280</v>
      </c>
      <c r="C18" s="20">
        <v>1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1">
        <v>2</v>
      </c>
      <c r="J18" s="22">
        <v>1.6</v>
      </c>
      <c r="K18" s="22">
        <v>1.71</v>
      </c>
      <c r="L18" s="22">
        <v>1.76</v>
      </c>
      <c r="M18" s="22">
        <v>1.87</v>
      </c>
      <c r="N18" s="22">
        <v>1.97</v>
      </c>
      <c r="O18" s="22">
        <v>1.97</v>
      </c>
      <c r="P18" s="91"/>
      <c r="Q18" s="91"/>
      <c r="R18" s="91"/>
      <c r="S18" s="91"/>
      <c r="T18" s="91"/>
      <c r="U18" s="91"/>
      <c r="V18" s="23">
        <v>60</v>
      </c>
      <c r="W18" s="23">
        <v>31</v>
      </c>
      <c r="X18" s="24">
        <v>60</v>
      </c>
      <c r="Y18" s="24">
        <v>60</v>
      </c>
      <c r="Z18" s="24">
        <v>60</v>
      </c>
      <c r="AA18" s="24">
        <v>60</v>
      </c>
      <c r="AB18" s="24">
        <v>60</v>
      </c>
      <c r="AC18" s="24">
        <v>60</v>
      </c>
      <c r="AD18" s="25">
        <v>21.88</v>
      </c>
      <c r="AE18" s="25">
        <v>16.059999999999999</v>
      </c>
      <c r="AF18" s="25">
        <v>15.79</v>
      </c>
      <c r="AG18" s="25">
        <v>15.51</v>
      </c>
      <c r="AH18" s="25">
        <v>15.32</v>
      </c>
      <c r="AI18" s="25">
        <v>14.95</v>
      </c>
      <c r="AJ18" s="26">
        <v>13.13</v>
      </c>
      <c r="AK18" s="26">
        <v>9.6300000000000008</v>
      </c>
      <c r="AL18" s="26">
        <v>9.4700000000000006</v>
      </c>
      <c r="AM18" s="26">
        <v>9.31</v>
      </c>
      <c r="AN18" s="26">
        <v>9.19</v>
      </c>
      <c r="AO18" s="26">
        <v>8.9700000000000006</v>
      </c>
      <c r="AP18" s="27">
        <v>1137.1199999999999</v>
      </c>
      <c r="AQ18" s="27">
        <v>923.44</v>
      </c>
      <c r="AR18" s="27">
        <v>909.37</v>
      </c>
      <c r="AS18" s="27">
        <v>895.31</v>
      </c>
      <c r="AT18" s="27">
        <v>881.25</v>
      </c>
      <c r="AU18" s="27">
        <v>867.19</v>
      </c>
      <c r="AV18" s="28">
        <v>5197.32</v>
      </c>
      <c r="AW18" s="28">
        <v>5751.6</v>
      </c>
      <c r="AX18" s="28">
        <v>5760.72</v>
      </c>
      <c r="AY18" s="28">
        <v>5772.36</v>
      </c>
      <c r="AZ18" s="28">
        <v>5750.76</v>
      </c>
      <c r="BA18" s="28">
        <v>5802.24</v>
      </c>
      <c r="BB18" s="29">
        <v>8662.2000000000007</v>
      </c>
      <c r="BC18" s="29">
        <v>9586</v>
      </c>
      <c r="BD18" s="29">
        <v>9601.2000000000007</v>
      </c>
      <c r="BE18" s="29">
        <v>9620.6</v>
      </c>
      <c r="BF18" s="29">
        <v>9584.6</v>
      </c>
      <c r="BG18" s="29">
        <v>9670.4</v>
      </c>
      <c r="BH18" s="30">
        <v>545820</v>
      </c>
      <c r="BI18" s="30">
        <v>450000</v>
      </c>
      <c r="BJ18" s="30">
        <v>450000</v>
      </c>
      <c r="BK18" s="30">
        <v>450000</v>
      </c>
      <c r="BL18" s="30">
        <v>450000</v>
      </c>
      <c r="BM18" s="30">
        <v>450000</v>
      </c>
    </row>
    <row r="19" spans="1:65" ht="15.75" thickBot="1" x14ac:dyDescent="0.3">
      <c r="A19" s="19" t="s">
        <v>304</v>
      </c>
      <c r="B19" s="19" t="s">
        <v>305</v>
      </c>
      <c r="C19" s="20">
        <v>1</v>
      </c>
      <c r="D19" s="20">
        <v>1</v>
      </c>
      <c r="E19" s="20">
        <v>1</v>
      </c>
      <c r="F19" s="20">
        <v>1</v>
      </c>
      <c r="G19" s="20">
        <v>1</v>
      </c>
      <c r="H19" s="20">
        <v>1</v>
      </c>
      <c r="I19" s="21">
        <v>2</v>
      </c>
      <c r="J19" s="22">
        <v>1.6</v>
      </c>
      <c r="K19" s="22">
        <v>1.71</v>
      </c>
      <c r="L19" s="22">
        <v>1.76</v>
      </c>
      <c r="M19" s="22">
        <v>1.87</v>
      </c>
      <c r="N19" s="22">
        <v>1.97</v>
      </c>
      <c r="O19" s="22">
        <v>1.97</v>
      </c>
      <c r="P19" s="91"/>
      <c r="Q19" s="91"/>
      <c r="R19" s="91"/>
      <c r="S19" s="91"/>
      <c r="T19" s="91"/>
      <c r="U19" s="91"/>
      <c r="V19" s="23">
        <v>60</v>
      </c>
      <c r="W19" s="23">
        <v>31</v>
      </c>
      <c r="X19" s="24">
        <v>60</v>
      </c>
      <c r="Y19" s="24">
        <v>60</v>
      </c>
      <c r="Z19" s="24">
        <v>60</v>
      </c>
      <c r="AA19" s="24">
        <v>60</v>
      </c>
      <c r="AB19" s="24">
        <v>60</v>
      </c>
      <c r="AC19" s="24">
        <v>60</v>
      </c>
      <c r="AD19" s="25">
        <v>3.3</v>
      </c>
      <c r="AE19" s="25">
        <v>2.7</v>
      </c>
      <c r="AF19" s="25">
        <v>2.66</v>
      </c>
      <c r="AG19" s="25">
        <v>2.61</v>
      </c>
      <c r="AH19" s="25">
        <v>2.58</v>
      </c>
      <c r="AI19" s="25">
        <v>2.52</v>
      </c>
      <c r="AJ19" s="26">
        <v>1.98</v>
      </c>
      <c r="AK19" s="26">
        <v>1.62</v>
      </c>
      <c r="AL19" s="26">
        <v>1.59</v>
      </c>
      <c r="AM19" s="26">
        <v>1.57</v>
      </c>
      <c r="AN19" s="26">
        <v>1.55</v>
      </c>
      <c r="AO19" s="26">
        <v>1.51</v>
      </c>
      <c r="AP19" s="27">
        <v>171.59</v>
      </c>
      <c r="AQ19" s="27">
        <v>155.47999999999999</v>
      </c>
      <c r="AR19" s="27">
        <v>153.11000000000001</v>
      </c>
      <c r="AS19" s="27">
        <v>150.74</v>
      </c>
      <c r="AT19" s="27">
        <v>148.38</v>
      </c>
      <c r="AU19" s="27">
        <v>146.01</v>
      </c>
      <c r="AV19" s="28">
        <v>5197.32</v>
      </c>
      <c r="AW19" s="28">
        <v>5751.6</v>
      </c>
      <c r="AX19" s="28">
        <v>5760.72</v>
      </c>
      <c r="AY19" s="28">
        <v>5772.36</v>
      </c>
      <c r="AZ19" s="28">
        <v>5750.76</v>
      </c>
      <c r="BA19" s="28">
        <v>5802.24</v>
      </c>
      <c r="BB19" s="29">
        <v>8662.2000000000007</v>
      </c>
      <c r="BC19" s="29">
        <v>9586</v>
      </c>
      <c r="BD19" s="29">
        <v>9601.2000000000007</v>
      </c>
      <c r="BE19" s="29">
        <v>9620.6</v>
      </c>
      <c r="BF19" s="29">
        <v>9584.6</v>
      </c>
      <c r="BG19" s="29">
        <v>9670.4</v>
      </c>
      <c r="BH19" s="30">
        <v>61772</v>
      </c>
      <c r="BI19" s="30">
        <v>56825</v>
      </c>
      <c r="BJ19" s="30">
        <v>56825</v>
      </c>
      <c r="BK19" s="30">
        <v>56825</v>
      </c>
      <c r="BL19" s="30">
        <v>56825</v>
      </c>
      <c r="BM19" s="30">
        <v>56825</v>
      </c>
    </row>
    <row r="20" spans="1:65" ht="15.75" thickBot="1" x14ac:dyDescent="0.3">
      <c r="A20" s="19" t="s">
        <v>306</v>
      </c>
      <c r="B20" s="19" t="s">
        <v>307</v>
      </c>
      <c r="C20" s="20">
        <v>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1">
        <v>2</v>
      </c>
      <c r="J20" s="22">
        <v>1.6</v>
      </c>
      <c r="K20" s="22">
        <v>1.71</v>
      </c>
      <c r="L20" s="22">
        <v>1.76</v>
      </c>
      <c r="M20" s="22">
        <v>1.87</v>
      </c>
      <c r="N20" s="22">
        <v>1.97</v>
      </c>
      <c r="O20" s="22">
        <v>1.97</v>
      </c>
      <c r="P20" s="91"/>
      <c r="Q20" s="91"/>
      <c r="R20" s="91"/>
      <c r="S20" s="91"/>
      <c r="T20" s="91"/>
      <c r="U20" s="91"/>
      <c r="V20" s="23">
        <v>60</v>
      </c>
      <c r="W20" s="23">
        <v>31</v>
      </c>
      <c r="X20" s="24">
        <v>60</v>
      </c>
      <c r="Y20" s="24">
        <v>60</v>
      </c>
      <c r="Z20" s="24">
        <v>60</v>
      </c>
      <c r="AA20" s="24">
        <v>60</v>
      </c>
      <c r="AB20" s="24">
        <v>60</v>
      </c>
      <c r="AC20" s="24">
        <v>60</v>
      </c>
      <c r="AD20" s="25">
        <v>11.87</v>
      </c>
      <c r="AE20" s="25">
        <v>12.64</v>
      </c>
      <c r="AF20" s="25">
        <v>12.42</v>
      </c>
      <c r="AG20" s="25">
        <v>12.21</v>
      </c>
      <c r="AH20" s="25">
        <v>12.06</v>
      </c>
      <c r="AI20" s="25">
        <v>11.76</v>
      </c>
      <c r="AJ20" s="26">
        <v>7.12</v>
      </c>
      <c r="AK20" s="26">
        <v>7.58</v>
      </c>
      <c r="AL20" s="26">
        <v>7.45</v>
      </c>
      <c r="AM20" s="26">
        <v>7.32</v>
      </c>
      <c r="AN20" s="26">
        <v>7.24</v>
      </c>
      <c r="AO20" s="26">
        <v>7.06</v>
      </c>
      <c r="AP20" s="27">
        <v>616.66999999999996</v>
      </c>
      <c r="AQ20" s="27">
        <v>726.78</v>
      </c>
      <c r="AR20" s="27">
        <v>715.71</v>
      </c>
      <c r="AS20" s="27">
        <v>704.65</v>
      </c>
      <c r="AT20" s="27">
        <v>693.58</v>
      </c>
      <c r="AU20" s="27">
        <v>682.51</v>
      </c>
      <c r="AV20" s="28">
        <v>5197.32</v>
      </c>
      <c r="AW20" s="28">
        <v>5751.6</v>
      </c>
      <c r="AX20" s="28">
        <v>5760.72</v>
      </c>
      <c r="AY20" s="28">
        <v>5772.36</v>
      </c>
      <c r="AZ20" s="28">
        <v>5750.76</v>
      </c>
      <c r="BA20" s="28">
        <v>5802.24</v>
      </c>
      <c r="BB20" s="29">
        <v>8662.2000000000007</v>
      </c>
      <c r="BC20" s="29">
        <v>9586</v>
      </c>
      <c r="BD20" s="29">
        <v>9601.2000000000007</v>
      </c>
      <c r="BE20" s="29">
        <v>9620.6</v>
      </c>
      <c r="BF20" s="29">
        <v>9584.6</v>
      </c>
      <c r="BG20" s="29">
        <v>9670.4</v>
      </c>
      <c r="BH20" s="30">
        <v>222000</v>
      </c>
      <c r="BI20" s="30">
        <v>265625</v>
      </c>
      <c r="BJ20" s="30">
        <v>265625</v>
      </c>
      <c r="BK20" s="30">
        <v>265625</v>
      </c>
      <c r="BL20" s="30">
        <v>265625</v>
      </c>
      <c r="BM20" s="30">
        <v>265625</v>
      </c>
    </row>
    <row r="21" spans="1:65" ht="15.75" thickBot="1" x14ac:dyDescent="0.3">
      <c r="A21" s="19" t="s">
        <v>308</v>
      </c>
      <c r="B21" s="19" t="s">
        <v>281</v>
      </c>
      <c r="C21" s="20">
        <v>1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1">
        <v>2</v>
      </c>
      <c r="J21" s="22">
        <v>1.6</v>
      </c>
      <c r="K21" s="22">
        <v>1.71</v>
      </c>
      <c r="L21" s="22">
        <v>1.76</v>
      </c>
      <c r="M21" s="22">
        <v>1.87</v>
      </c>
      <c r="N21" s="22">
        <v>1.97</v>
      </c>
      <c r="O21" s="22">
        <v>1.97</v>
      </c>
      <c r="P21" s="91"/>
      <c r="Q21" s="91"/>
      <c r="R21" s="91"/>
      <c r="S21" s="91"/>
      <c r="T21" s="91"/>
      <c r="U21" s="91"/>
      <c r="V21" s="23">
        <v>60</v>
      </c>
      <c r="W21" s="23">
        <v>31</v>
      </c>
      <c r="X21" s="24">
        <v>60</v>
      </c>
      <c r="Y21" s="24">
        <v>60</v>
      </c>
      <c r="Z21" s="24">
        <v>60</v>
      </c>
      <c r="AA21" s="24">
        <v>60</v>
      </c>
      <c r="AB21" s="24">
        <v>60</v>
      </c>
      <c r="AC21" s="24">
        <v>60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6">
        <v>0</v>
      </c>
      <c r="AK21" s="26">
        <v>0</v>
      </c>
      <c r="AL21" s="26">
        <v>0</v>
      </c>
      <c r="AM21" s="26">
        <v>0</v>
      </c>
      <c r="AN21" s="26">
        <v>0</v>
      </c>
      <c r="AO21" s="26">
        <v>0</v>
      </c>
      <c r="AP21" s="27">
        <v>0</v>
      </c>
      <c r="AQ21" s="27">
        <v>0</v>
      </c>
      <c r="AR21" s="27">
        <v>0</v>
      </c>
      <c r="AS21" s="27">
        <v>0</v>
      </c>
      <c r="AT21" s="27">
        <v>0</v>
      </c>
      <c r="AU21" s="27">
        <v>0</v>
      </c>
      <c r="AV21" s="28">
        <v>5197.32</v>
      </c>
      <c r="AW21" s="28">
        <v>5751.6</v>
      </c>
      <c r="AX21" s="28">
        <v>5760.72</v>
      </c>
      <c r="AY21" s="28">
        <v>5772.36</v>
      </c>
      <c r="AZ21" s="28">
        <v>5750.76</v>
      </c>
      <c r="BA21" s="28">
        <v>5802.24</v>
      </c>
      <c r="BB21" s="29">
        <v>8662.2000000000007</v>
      </c>
      <c r="BC21" s="29">
        <v>9586</v>
      </c>
      <c r="BD21" s="29">
        <v>9601.2000000000007</v>
      </c>
      <c r="BE21" s="29">
        <v>9620.6</v>
      </c>
      <c r="BF21" s="29">
        <v>9584.6</v>
      </c>
      <c r="BG21" s="29">
        <v>9670.4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</row>
    <row r="22" spans="1:65" ht="15.75" thickBot="1" x14ac:dyDescent="0.3">
      <c r="A22" s="19" t="s">
        <v>309</v>
      </c>
      <c r="B22" s="19" t="s">
        <v>310</v>
      </c>
      <c r="C22" s="20">
        <v>1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1">
        <v>2</v>
      </c>
      <c r="J22" s="22">
        <v>1.6</v>
      </c>
      <c r="K22" s="22">
        <v>1.71</v>
      </c>
      <c r="L22" s="22">
        <v>1.76</v>
      </c>
      <c r="M22" s="22">
        <v>1.87</v>
      </c>
      <c r="N22" s="22">
        <v>1.97</v>
      </c>
      <c r="O22" s="22">
        <v>1.97</v>
      </c>
      <c r="P22" s="91"/>
      <c r="Q22" s="91"/>
      <c r="R22" s="91"/>
      <c r="S22" s="91"/>
      <c r="T22" s="91"/>
      <c r="U22" s="91"/>
      <c r="V22" s="23">
        <v>60</v>
      </c>
      <c r="W22" s="23">
        <v>31</v>
      </c>
      <c r="X22" s="24">
        <v>60</v>
      </c>
      <c r="Y22" s="24">
        <v>60</v>
      </c>
      <c r="Z22" s="24">
        <v>60</v>
      </c>
      <c r="AA22" s="24">
        <v>60</v>
      </c>
      <c r="AB22" s="24">
        <v>60</v>
      </c>
      <c r="AC22" s="24">
        <v>60</v>
      </c>
      <c r="AD22" s="25">
        <v>24.05</v>
      </c>
      <c r="AE22" s="25">
        <v>31.89</v>
      </c>
      <c r="AF22" s="25">
        <v>36.07</v>
      </c>
      <c r="AG22" s="25">
        <v>42.17</v>
      </c>
      <c r="AH22" s="25">
        <v>48.18</v>
      </c>
      <c r="AI22" s="25">
        <v>49</v>
      </c>
      <c r="AJ22" s="26">
        <v>14.43</v>
      </c>
      <c r="AK22" s="26">
        <v>19.13</v>
      </c>
      <c r="AL22" s="26">
        <v>21.64</v>
      </c>
      <c r="AM22" s="26">
        <v>25.3</v>
      </c>
      <c r="AN22" s="26">
        <v>28.91</v>
      </c>
      <c r="AO22" s="26">
        <v>29.4</v>
      </c>
      <c r="AP22" s="27">
        <v>1250</v>
      </c>
      <c r="AQ22" s="27">
        <v>1833.93</v>
      </c>
      <c r="AR22" s="27">
        <v>2077.67</v>
      </c>
      <c r="AS22" s="27">
        <v>2434.25</v>
      </c>
      <c r="AT22" s="27">
        <v>2770.98</v>
      </c>
      <c r="AU22" s="27">
        <v>2843.25</v>
      </c>
      <c r="AV22" s="28">
        <v>5197.32</v>
      </c>
      <c r="AW22" s="28">
        <v>5751.6</v>
      </c>
      <c r="AX22" s="28">
        <v>5760.72</v>
      </c>
      <c r="AY22" s="28">
        <v>5772.36</v>
      </c>
      <c r="AZ22" s="28">
        <v>5750.76</v>
      </c>
      <c r="BA22" s="28">
        <v>5802.24</v>
      </c>
      <c r="BB22" s="29">
        <v>8662.2000000000007</v>
      </c>
      <c r="BC22" s="29">
        <v>9586</v>
      </c>
      <c r="BD22" s="29">
        <v>9601.2000000000007</v>
      </c>
      <c r="BE22" s="29">
        <v>9620.6</v>
      </c>
      <c r="BF22" s="29">
        <v>9584.6</v>
      </c>
      <c r="BG22" s="29">
        <v>9670.4</v>
      </c>
      <c r="BH22" s="30">
        <v>450000</v>
      </c>
      <c r="BI22" s="30">
        <v>670268</v>
      </c>
      <c r="BJ22" s="30">
        <v>771092</v>
      </c>
      <c r="BK22" s="30">
        <v>917623</v>
      </c>
      <c r="BL22" s="30">
        <v>1061223</v>
      </c>
      <c r="BM22" s="30">
        <v>1106560</v>
      </c>
    </row>
    <row r="23" spans="1:65" ht="15.75" thickBot="1" x14ac:dyDescent="0.3">
      <c r="A23" s="19" t="s">
        <v>282</v>
      </c>
      <c r="B23" s="19" t="s">
        <v>284</v>
      </c>
      <c r="C23" s="20">
        <v>1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1">
        <v>2</v>
      </c>
      <c r="J23" s="22">
        <v>1.6</v>
      </c>
      <c r="K23" s="22">
        <v>1.71</v>
      </c>
      <c r="L23" s="22">
        <v>1.76</v>
      </c>
      <c r="M23" s="22">
        <v>1.87</v>
      </c>
      <c r="N23" s="22">
        <v>1.97</v>
      </c>
      <c r="O23" s="22">
        <v>1.97</v>
      </c>
      <c r="P23" s="91"/>
      <c r="Q23" s="91"/>
      <c r="R23" s="91"/>
      <c r="S23" s="91"/>
      <c r="T23" s="91"/>
      <c r="U23" s="91"/>
      <c r="V23" s="23">
        <v>60</v>
      </c>
      <c r="W23" s="23">
        <v>31</v>
      </c>
      <c r="X23" s="24">
        <v>60</v>
      </c>
      <c r="Y23" s="24">
        <v>60</v>
      </c>
      <c r="Z23" s="24">
        <v>60</v>
      </c>
      <c r="AA23" s="24">
        <v>60</v>
      </c>
      <c r="AB23" s="24">
        <v>60</v>
      </c>
      <c r="AC23" s="24">
        <v>60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8">
        <v>5197.32</v>
      </c>
      <c r="AW23" s="28">
        <v>5751.6</v>
      </c>
      <c r="AX23" s="28">
        <v>5760.72</v>
      </c>
      <c r="AY23" s="28">
        <v>5772.36</v>
      </c>
      <c r="AZ23" s="28">
        <v>5750.76</v>
      </c>
      <c r="BA23" s="28">
        <v>5802.24</v>
      </c>
      <c r="BB23" s="29">
        <v>8662.2000000000007</v>
      </c>
      <c r="BC23" s="29">
        <v>9586</v>
      </c>
      <c r="BD23" s="29">
        <v>9601.2000000000007</v>
      </c>
      <c r="BE23" s="29">
        <v>9620.6</v>
      </c>
      <c r="BF23" s="29">
        <v>9584.6</v>
      </c>
      <c r="BG23" s="29">
        <v>9670.4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</row>
    <row r="24" spans="1:65" ht="15.75" thickBot="1" x14ac:dyDescent="0.3">
      <c r="A24" s="96" t="s">
        <v>283</v>
      </c>
      <c r="B24" s="96" t="s">
        <v>285</v>
      </c>
      <c r="C24" s="97">
        <v>1</v>
      </c>
      <c r="D24" s="97">
        <v>1</v>
      </c>
      <c r="E24" s="97">
        <v>1</v>
      </c>
      <c r="F24" s="97">
        <v>1</v>
      </c>
      <c r="G24" s="97">
        <v>1</v>
      </c>
      <c r="H24" s="97">
        <v>1</v>
      </c>
      <c r="I24" s="98">
        <v>2</v>
      </c>
      <c r="J24" s="100">
        <v>1.6</v>
      </c>
      <c r="K24" s="100">
        <v>1.71</v>
      </c>
      <c r="L24" s="100">
        <v>1.76</v>
      </c>
      <c r="M24" s="22">
        <v>1.87</v>
      </c>
      <c r="N24" s="22">
        <v>1.97</v>
      </c>
      <c r="O24" s="22">
        <v>1.97</v>
      </c>
      <c r="P24" s="91"/>
      <c r="Q24" s="91"/>
      <c r="R24" s="91"/>
      <c r="S24" s="91"/>
      <c r="T24" s="91"/>
      <c r="U24" s="91"/>
      <c r="V24" s="23">
        <v>60</v>
      </c>
      <c r="W24" s="23">
        <v>31</v>
      </c>
      <c r="X24" s="24">
        <v>60</v>
      </c>
      <c r="Y24" s="24">
        <v>60</v>
      </c>
      <c r="Z24" s="24">
        <v>60</v>
      </c>
      <c r="AA24" s="24">
        <v>60</v>
      </c>
      <c r="AB24" s="24">
        <v>60</v>
      </c>
      <c r="AC24" s="24">
        <v>60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8">
        <v>5197.32</v>
      </c>
      <c r="AW24" s="28">
        <v>5751.6</v>
      </c>
      <c r="AX24" s="28">
        <v>5760.72</v>
      </c>
      <c r="AY24" s="28">
        <v>5772.36</v>
      </c>
      <c r="AZ24" s="28">
        <v>5750.76</v>
      </c>
      <c r="BA24" s="28">
        <v>5802.24</v>
      </c>
      <c r="BB24" s="29">
        <v>8662.2000000000007</v>
      </c>
      <c r="BC24" s="29">
        <v>9586</v>
      </c>
      <c r="BD24" s="29">
        <v>9601.2000000000007</v>
      </c>
      <c r="BE24" s="29">
        <v>9620.6</v>
      </c>
      <c r="BF24" s="29">
        <v>9584.6</v>
      </c>
      <c r="BG24" s="29">
        <v>9670.4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</row>
    <row r="25" spans="1:65" ht="15.75" thickBot="1" x14ac:dyDescent="0.3">
      <c r="A25" s="115" t="s">
        <v>692</v>
      </c>
      <c r="B25" s="116" t="s">
        <v>690</v>
      </c>
      <c r="C25" s="113" t="s">
        <v>691</v>
      </c>
      <c r="D25" s="113" t="s">
        <v>689</v>
      </c>
      <c r="E25" s="114" t="s">
        <v>688</v>
      </c>
      <c r="F25" s="121"/>
      <c r="G25" s="121"/>
      <c r="H25" s="121"/>
      <c r="I25" s="113" t="s">
        <v>691</v>
      </c>
      <c r="J25" s="113" t="s">
        <v>689</v>
      </c>
      <c r="K25" s="114" t="s">
        <v>688</v>
      </c>
      <c r="L25" s="112" t="s">
        <v>693</v>
      </c>
      <c r="AP25" s="132">
        <f>L26</f>
        <v>0</v>
      </c>
    </row>
    <row r="26" spans="1:65" x14ac:dyDescent="0.25">
      <c r="A26" s="128"/>
      <c r="B26" s="128"/>
      <c r="C26" s="128"/>
      <c r="D26" s="128"/>
      <c r="E26" s="128"/>
      <c r="F26" s="128"/>
      <c r="G26" s="128"/>
      <c r="H26" s="128"/>
      <c r="I26" s="128"/>
      <c r="J26" s="129">
        <f>I26/60</f>
        <v>0</v>
      </c>
      <c r="K26" s="128"/>
      <c r="L26" s="129">
        <f>IF(AND(I26&lt;&gt;0,K26&lt;&gt;0),K26/I26,0)</f>
        <v>0</v>
      </c>
      <c r="AP26" s="132">
        <f t="shared" ref="AP26:AP54" si="5">L27</f>
        <v>0</v>
      </c>
    </row>
    <row r="27" spans="1:65" x14ac:dyDescent="0.25">
      <c r="A27" s="130"/>
      <c r="B27" s="130"/>
      <c r="C27" s="130"/>
      <c r="D27" s="130"/>
      <c r="E27" s="130"/>
      <c r="F27" s="130"/>
      <c r="G27" s="130"/>
      <c r="H27" s="130"/>
      <c r="I27" s="130"/>
      <c r="J27" s="131">
        <f t="shared" ref="J27:J54" si="6">I27/60</f>
        <v>0</v>
      </c>
      <c r="K27" s="130"/>
      <c r="L27" s="131">
        <f t="shared" ref="L27:L54" si="7">IF(AND(I27&lt;&gt;0,K27&lt;&gt;0),K27/I27,0)</f>
        <v>0</v>
      </c>
      <c r="AP27" s="132">
        <f t="shared" si="5"/>
        <v>0</v>
      </c>
    </row>
    <row r="28" spans="1:65" x14ac:dyDescent="0.25">
      <c r="A28" s="130"/>
      <c r="B28" s="130"/>
      <c r="C28" s="130"/>
      <c r="D28" s="130"/>
      <c r="E28" s="130"/>
      <c r="F28" s="130"/>
      <c r="G28" s="130"/>
      <c r="H28" s="130"/>
      <c r="I28" s="130"/>
      <c r="J28" s="131">
        <f t="shared" si="6"/>
        <v>0</v>
      </c>
      <c r="K28" s="130"/>
      <c r="L28" s="131">
        <f t="shared" si="7"/>
        <v>0</v>
      </c>
      <c r="AP28" s="132">
        <f t="shared" si="5"/>
        <v>0</v>
      </c>
    </row>
    <row r="29" spans="1:65" x14ac:dyDescent="0.25">
      <c r="A29" s="130"/>
      <c r="B29" s="130"/>
      <c r="C29" s="130"/>
      <c r="D29" s="130"/>
      <c r="E29" s="130"/>
      <c r="F29" s="130"/>
      <c r="G29" s="130"/>
      <c r="H29" s="130"/>
      <c r="I29" s="130"/>
      <c r="J29" s="131">
        <f t="shared" si="6"/>
        <v>0</v>
      </c>
      <c r="K29" s="130"/>
      <c r="L29" s="131">
        <f t="shared" si="7"/>
        <v>0</v>
      </c>
      <c r="AP29" s="132">
        <f t="shared" si="5"/>
        <v>0</v>
      </c>
    </row>
    <row r="30" spans="1:65" x14ac:dyDescent="0.25">
      <c r="A30" s="130"/>
      <c r="B30" s="130"/>
      <c r="C30" s="130"/>
      <c r="D30" s="130"/>
      <c r="E30" s="130"/>
      <c r="F30" s="130"/>
      <c r="G30" s="130"/>
      <c r="H30" s="130"/>
      <c r="I30" s="130"/>
      <c r="J30" s="131">
        <f t="shared" si="6"/>
        <v>0</v>
      </c>
      <c r="K30" s="130"/>
      <c r="L30" s="131">
        <f t="shared" si="7"/>
        <v>0</v>
      </c>
      <c r="AP30" s="132">
        <f t="shared" si="5"/>
        <v>0</v>
      </c>
    </row>
    <row r="31" spans="1:65" x14ac:dyDescent="0.25">
      <c r="A31" s="130"/>
      <c r="B31" s="130"/>
      <c r="C31" s="130"/>
      <c r="D31" s="130"/>
      <c r="E31" s="130"/>
      <c r="F31" s="130"/>
      <c r="G31" s="130"/>
      <c r="H31" s="130"/>
      <c r="I31" s="130"/>
      <c r="J31" s="131">
        <f t="shared" si="6"/>
        <v>0</v>
      </c>
      <c r="K31" s="130"/>
      <c r="L31" s="131">
        <f t="shared" si="7"/>
        <v>0</v>
      </c>
      <c r="AP31" s="132">
        <f t="shared" si="5"/>
        <v>0</v>
      </c>
    </row>
    <row r="32" spans="1:65" x14ac:dyDescent="0.25">
      <c r="A32" s="130"/>
      <c r="B32" s="130"/>
      <c r="C32" s="130"/>
      <c r="D32" s="130"/>
      <c r="E32" s="130"/>
      <c r="F32" s="130"/>
      <c r="G32" s="130"/>
      <c r="H32" s="130"/>
      <c r="I32" s="130"/>
      <c r="J32" s="131">
        <f t="shared" si="6"/>
        <v>0</v>
      </c>
      <c r="K32" s="130"/>
      <c r="L32" s="131">
        <f t="shared" si="7"/>
        <v>0</v>
      </c>
      <c r="AP32" s="132">
        <f t="shared" si="5"/>
        <v>0</v>
      </c>
    </row>
    <row r="33" spans="1:42" x14ac:dyDescent="0.25">
      <c r="A33" s="130"/>
      <c r="B33" s="130"/>
      <c r="C33" s="130"/>
      <c r="D33" s="130"/>
      <c r="E33" s="130"/>
      <c r="F33" s="130"/>
      <c r="G33" s="130"/>
      <c r="H33" s="130"/>
      <c r="I33" s="130"/>
      <c r="J33" s="131">
        <f t="shared" si="6"/>
        <v>0</v>
      </c>
      <c r="K33" s="130"/>
      <c r="L33" s="131">
        <f t="shared" si="7"/>
        <v>0</v>
      </c>
      <c r="AP33" s="132">
        <f t="shared" si="5"/>
        <v>0</v>
      </c>
    </row>
    <row r="34" spans="1:42" x14ac:dyDescent="0.25">
      <c r="A34" s="130"/>
      <c r="B34" s="130"/>
      <c r="C34" s="130"/>
      <c r="D34" s="130"/>
      <c r="E34" s="130"/>
      <c r="F34" s="130"/>
      <c r="G34" s="130"/>
      <c r="H34" s="130"/>
      <c r="I34" s="130"/>
      <c r="J34" s="131">
        <f t="shared" si="6"/>
        <v>0</v>
      </c>
      <c r="K34" s="130"/>
      <c r="L34" s="131">
        <f t="shared" si="7"/>
        <v>0</v>
      </c>
      <c r="AP34" s="132">
        <f t="shared" si="5"/>
        <v>0</v>
      </c>
    </row>
    <row r="35" spans="1:42" x14ac:dyDescent="0.25">
      <c r="A35" s="130"/>
      <c r="B35" s="130"/>
      <c r="C35" s="130"/>
      <c r="D35" s="130"/>
      <c r="E35" s="130"/>
      <c r="F35" s="130"/>
      <c r="G35" s="130"/>
      <c r="H35" s="130"/>
      <c r="I35" s="130"/>
      <c r="J35" s="131">
        <f t="shared" si="6"/>
        <v>0</v>
      </c>
      <c r="K35" s="130"/>
      <c r="L35" s="131">
        <f t="shared" si="7"/>
        <v>0</v>
      </c>
      <c r="AP35" s="132">
        <f t="shared" si="5"/>
        <v>0</v>
      </c>
    </row>
    <row r="36" spans="1:42" x14ac:dyDescent="0.25">
      <c r="A36" s="130"/>
      <c r="B36" s="130"/>
      <c r="C36" s="130"/>
      <c r="D36" s="130"/>
      <c r="E36" s="130"/>
      <c r="F36" s="130"/>
      <c r="G36" s="130"/>
      <c r="H36" s="130"/>
      <c r="I36" s="130"/>
      <c r="J36" s="131">
        <f t="shared" si="6"/>
        <v>0</v>
      </c>
      <c r="K36" s="130"/>
      <c r="L36" s="131">
        <f t="shared" si="7"/>
        <v>0</v>
      </c>
      <c r="AP36" s="132">
        <f t="shared" si="5"/>
        <v>0</v>
      </c>
    </row>
    <row r="37" spans="1:42" x14ac:dyDescent="0.25">
      <c r="A37" s="130"/>
      <c r="B37" s="130"/>
      <c r="C37" s="130"/>
      <c r="D37" s="130"/>
      <c r="E37" s="130"/>
      <c r="F37" s="130"/>
      <c r="G37" s="130"/>
      <c r="H37" s="130"/>
      <c r="I37" s="130"/>
      <c r="J37" s="131">
        <f t="shared" si="6"/>
        <v>0</v>
      </c>
      <c r="K37" s="130"/>
      <c r="L37" s="131">
        <f t="shared" si="7"/>
        <v>0</v>
      </c>
      <c r="AP37" s="132">
        <f t="shared" si="5"/>
        <v>0</v>
      </c>
    </row>
    <row r="38" spans="1:42" x14ac:dyDescent="0.25">
      <c r="A38" s="130"/>
      <c r="B38" s="130"/>
      <c r="C38" s="130"/>
      <c r="D38" s="130"/>
      <c r="E38" s="130"/>
      <c r="F38" s="130"/>
      <c r="G38" s="130"/>
      <c r="H38" s="130"/>
      <c r="I38" s="130"/>
      <c r="J38" s="131">
        <f t="shared" si="6"/>
        <v>0</v>
      </c>
      <c r="K38" s="130"/>
      <c r="L38" s="131">
        <f t="shared" si="7"/>
        <v>0</v>
      </c>
      <c r="AP38" s="132">
        <f t="shared" si="5"/>
        <v>0</v>
      </c>
    </row>
    <row r="39" spans="1:42" x14ac:dyDescent="0.25">
      <c r="A39" s="130"/>
      <c r="B39" s="130"/>
      <c r="C39" s="130"/>
      <c r="D39" s="130"/>
      <c r="E39" s="130"/>
      <c r="F39" s="130"/>
      <c r="G39" s="130"/>
      <c r="H39" s="130"/>
      <c r="I39" s="130"/>
      <c r="J39" s="131">
        <f t="shared" si="6"/>
        <v>0</v>
      </c>
      <c r="K39" s="130"/>
      <c r="L39" s="131">
        <f t="shared" si="7"/>
        <v>0</v>
      </c>
      <c r="AP39" s="132">
        <f t="shared" si="5"/>
        <v>0</v>
      </c>
    </row>
    <row r="40" spans="1:42" x14ac:dyDescent="0.25">
      <c r="A40" s="130"/>
      <c r="B40" s="130"/>
      <c r="C40" s="130"/>
      <c r="D40" s="130"/>
      <c r="E40" s="130"/>
      <c r="F40" s="130"/>
      <c r="G40" s="130"/>
      <c r="H40" s="130"/>
      <c r="I40" s="130"/>
      <c r="J40" s="131">
        <f t="shared" si="6"/>
        <v>0</v>
      </c>
      <c r="K40" s="130"/>
      <c r="L40" s="131">
        <f t="shared" si="7"/>
        <v>0</v>
      </c>
      <c r="AP40" s="132">
        <f t="shared" si="5"/>
        <v>0</v>
      </c>
    </row>
    <row r="41" spans="1:42" x14ac:dyDescent="0.25">
      <c r="A41" s="130"/>
      <c r="B41" s="130"/>
      <c r="C41" s="130"/>
      <c r="D41" s="130"/>
      <c r="E41" s="130"/>
      <c r="F41" s="130"/>
      <c r="G41" s="130"/>
      <c r="H41" s="130"/>
      <c r="I41" s="130"/>
      <c r="J41" s="131">
        <f t="shared" si="6"/>
        <v>0</v>
      </c>
      <c r="K41" s="130"/>
      <c r="L41" s="131">
        <f t="shared" si="7"/>
        <v>0</v>
      </c>
      <c r="AP41" s="132">
        <f t="shared" si="5"/>
        <v>0</v>
      </c>
    </row>
    <row r="42" spans="1:42" x14ac:dyDescent="0.25">
      <c r="A42" s="130"/>
      <c r="B42" s="130"/>
      <c r="C42" s="130"/>
      <c r="D42" s="130"/>
      <c r="E42" s="130"/>
      <c r="F42" s="130"/>
      <c r="G42" s="130"/>
      <c r="H42" s="130"/>
      <c r="I42" s="130"/>
      <c r="J42" s="131">
        <f t="shared" si="6"/>
        <v>0</v>
      </c>
      <c r="K42" s="130"/>
      <c r="L42" s="131">
        <f t="shared" si="7"/>
        <v>0</v>
      </c>
      <c r="AP42" s="132">
        <f t="shared" si="5"/>
        <v>0</v>
      </c>
    </row>
    <row r="43" spans="1:42" x14ac:dyDescent="0.25">
      <c r="A43" s="130"/>
      <c r="B43" s="130"/>
      <c r="C43" s="130"/>
      <c r="D43" s="130"/>
      <c r="E43" s="130"/>
      <c r="F43" s="130"/>
      <c r="G43" s="130"/>
      <c r="H43" s="130"/>
      <c r="I43" s="130"/>
      <c r="J43" s="131">
        <f t="shared" si="6"/>
        <v>0</v>
      </c>
      <c r="K43" s="130"/>
      <c r="L43" s="131">
        <f t="shared" si="7"/>
        <v>0</v>
      </c>
      <c r="AP43" s="132">
        <f t="shared" si="5"/>
        <v>0</v>
      </c>
    </row>
    <row r="44" spans="1:42" x14ac:dyDescent="0.25">
      <c r="A44" s="130"/>
      <c r="B44" s="130"/>
      <c r="C44" s="130"/>
      <c r="D44" s="130"/>
      <c r="E44" s="130"/>
      <c r="F44" s="130"/>
      <c r="G44" s="130"/>
      <c r="H44" s="130"/>
      <c r="I44" s="130"/>
      <c r="J44" s="131">
        <f t="shared" si="6"/>
        <v>0</v>
      </c>
      <c r="K44" s="130"/>
      <c r="L44" s="131">
        <f t="shared" si="7"/>
        <v>0</v>
      </c>
      <c r="AP44" s="132">
        <f t="shared" si="5"/>
        <v>0</v>
      </c>
    </row>
    <row r="45" spans="1:42" x14ac:dyDescent="0.25">
      <c r="A45" s="130"/>
      <c r="B45" s="130"/>
      <c r="C45" s="130"/>
      <c r="D45" s="130"/>
      <c r="E45" s="130"/>
      <c r="F45" s="130"/>
      <c r="G45" s="130"/>
      <c r="H45" s="130"/>
      <c r="I45" s="130"/>
      <c r="J45" s="131">
        <f t="shared" si="6"/>
        <v>0</v>
      </c>
      <c r="K45" s="130"/>
      <c r="L45" s="131">
        <f t="shared" si="7"/>
        <v>0</v>
      </c>
      <c r="AP45" s="132">
        <f t="shared" si="5"/>
        <v>0</v>
      </c>
    </row>
    <row r="46" spans="1:42" x14ac:dyDescent="0.25">
      <c r="A46" s="130"/>
      <c r="B46" s="130"/>
      <c r="C46" s="130"/>
      <c r="D46" s="130"/>
      <c r="E46" s="130"/>
      <c r="F46" s="130"/>
      <c r="G46" s="130"/>
      <c r="H46" s="130"/>
      <c r="I46" s="130"/>
      <c r="J46" s="131">
        <f t="shared" si="6"/>
        <v>0</v>
      </c>
      <c r="K46" s="130"/>
      <c r="L46" s="131">
        <f t="shared" si="7"/>
        <v>0</v>
      </c>
      <c r="AP46" s="132">
        <f t="shared" si="5"/>
        <v>0</v>
      </c>
    </row>
    <row r="47" spans="1:42" x14ac:dyDescent="0.25">
      <c r="A47" s="130"/>
      <c r="B47" s="130"/>
      <c r="C47" s="130"/>
      <c r="D47" s="130"/>
      <c r="E47" s="130"/>
      <c r="F47" s="130"/>
      <c r="G47" s="130"/>
      <c r="H47" s="130"/>
      <c r="I47" s="130"/>
      <c r="J47" s="131">
        <f t="shared" si="6"/>
        <v>0</v>
      </c>
      <c r="K47" s="130"/>
      <c r="L47" s="131">
        <f t="shared" si="7"/>
        <v>0</v>
      </c>
      <c r="AP47" s="132">
        <f t="shared" si="5"/>
        <v>0</v>
      </c>
    </row>
    <row r="48" spans="1:42" x14ac:dyDescent="0.25">
      <c r="A48" s="130"/>
      <c r="B48" s="130"/>
      <c r="C48" s="130"/>
      <c r="D48" s="130"/>
      <c r="E48" s="130"/>
      <c r="F48" s="130"/>
      <c r="G48" s="130"/>
      <c r="H48" s="130"/>
      <c r="I48" s="130"/>
      <c r="J48" s="131">
        <f t="shared" si="6"/>
        <v>0</v>
      </c>
      <c r="K48" s="130"/>
      <c r="L48" s="131">
        <f t="shared" si="7"/>
        <v>0</v>
      </c>
      <c r="AP48" s="132">
        <f t="shared" si="5"/>
        <v>0</v>
      </c>
    </row>
    <row r="49" spans="1:42" x14ac:dyDescent="0.25">
      <c r="A49" s="130"/>
      <c r="B49" s="130"/>
      <c r="C49" s="130"/>
      <c r="D49" s="130"/>
      <c r="E49" s="130"/>
      <c r="F49" s="130"/>
      <c r="G49" s="130"/>
      <c r="H49" s="130"/>
      <c r="I49" s="130"/>
      <c r="J49" s="131">
        <f t="shared" si="6"/>
        <v>0</v>
      </c>
      <c r="K49" s="130"/>
      <c r="L49" s="131">
        <f t="shared" si="7"/>
        <v>0</v>
      </c>
      <c r="AP49" s="132">
        <f t="shared" si="5"/>
        <v>0</v>
      </c>
    </row>
    <row r="50" spans="1:42" x14ac:dyDescent="0.25">
      <c r="A50" s="130"/>
      <c r="B50" s="130"/>
      <c r="C50" s="130"/>
      <c r="D50" s="130"/>
      <c r="E50" s="130"/>
      <c r="F50" s="130"/>
      <c r="G50" s="130"/>
      <c r="H50" s="130"/>
      <c r="I50" s="130"/>
      <c r="J50" s="131">
        <f t="shared" si="6"/>
        <v>0</v>
      </c>
      <c r="K50" s="130"/>
      <c r="L50" s="131">
        <f t="shared" si="7"/>
        <v>0</v>
      </c>
      <c r="AP50" s="132">
        <f t="shared" si="5"/>
        <v>0</v>
      </c>
    </row>
    <row r="51" spans="1:42" x14ac:dyDescent="0.25">
      <c r="A51" s="130"/>
      <c r="B51" s="130"/>
      <c r="C51" s="130"/>
      <c r="D51" s="130"/>
      <c r="E51" s="130"/>
      <c r="F51" s="130"/>
      <c r="G51" s="130"/>
      <c r="H51" s="130"/>
      <c r="I51" s="130"/>
      <c r="J51" s="131">
        <f t="shared" si="6"/>
        <v>0</v>
      </c>
      <c r="K51" s="130"/>
      <c r="L51" s="131">
        <f t="shared" si="7"/>
        <v>0</v>
      </c>
      <c r="AP51" s="132">
        <f t="shared" si="5"/>
        <v>0</v>
      </c>
    </row>
    <row r="52" spans="1:42" x14ac:dyDescent="0.25">
      <c r="A52" s="130"/>
      <c r="B52" s="130"/>
      <c r="C52" s="130"/>
      <c r="D52" s="130"/>
      <c r="E52" s="130"/>
      <c r="F52" s="130"/>
      <c r="G52" s="130"/>
      <c r="H52" s="130"/>
      <c r="I52" s="130"/>
      <c r="J52" s="131">
        <f t="shared" si="6"/>
        <v>0</v>
      </c>
      <c r="K52" s="130"/>
      <c r="L52" s="131">
        <f t="shared" si="7"/>
        <v>0</v>
      </c>
      <c r="AP52" s="132">
        <f t="shared" si="5"/>
        <v>0</v>
      </c>
    </row>
    <row r="53" spans="1:42" x14ac:dyDescent="0.25">
      <c r="A53" s="130"/>
      <c r="B53" s="130"/>
      <c r="C53" s="130"/>
      <c r="D53" s="130"/>
      <c r="E53" s="130"/>
      <c r="F53" s="130"/>
      <c r="G53" s="130"/>
      <c r="H53" s="130"/>
      <c r="I53" s="130"/>
      <c r="J53" s="131">
        <f t="shared" si="6"/>
        <v>0</v>
      </c>
      <c r="K53" s="130"/>
      <c r="L53" s="131">
        <f t="shared" si="7"/>
        <v>0</v>
      </c>
      <c r="AP53" s="132">
        <f t="shared" si="5"/>
        <v>0</v>
      </c>
    </row>
    <row r="54" spans="1:42" x14ac:dyDescent="0.25">
      <c r="A54" s="130"/>
      <c r="B54" s="130"/>
      <c r="C54" s="130"/>
      <c r="D54" s="130"/>
      <c r="E54" s="130"/>
      <c r="F54" s="130"/>
      <c r="G54" s="130"/>
      <c r="H54" s="130"/>
      <c r="I54" s="130"/>
      <c r="J54" s="131">
        <f t="shared" si="6"/>
        <v>0</v>
      </c>
      <c r="K54" s="130"/>
      <c r="L54" s="131">
        <f t="shared" si="7"/>
        <v>0</v>
      </c>
      <c r="AP54" s="132">
        <f t="shared" si="5"/>
        <v>0</v>
      </c>
    </row>
  </sheetData>
  <mergeCells count="12">
    <mergeCell ref="X1:AC1"/>
    <mergeCell ref="AD1:AI1"/>
    <mergeCell ref="P1:U1"/>
    <mergeCell ref="A1:B1"/>
    <mergeCell ref="C1:H1"/>
    <mergeCell ref="J1:O1"/>
    <mergeCell ref="V1:W1"/>
    <mergeCell ref="AJ1:AO1"/>
    <mergeCell ref="AP1:AU1"/>
    <mergeCell ref="AV1:BA1"/>
    <mergeCell ref="BB1:BG1"/>
    <mergeCell ref="BH1:BM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DFCB-4DBE-467E-B865-6EAFF8218968}">
  <dimension ref="A1:BU546"/>
  <sheetViews>
    <sheetView zoomScale="71" zoomScaleNormal="71" workbookViewId="0">
      <selection activeCell="I46" sqref="I46"/>
    </sheetView>
  </sheetViews>
  <sheetFormatPr defaultRowHeight="15" x14ac:dyDescent="0.25"/>
  <cols>
    <col min="1" max="1" width="17.42578125" bestFit="1" customWidth="1"/>
    <col min="2" max="2" width="40.140625" bestFit="1" customWidth="1"/>
    <col min="3" max="3" width="29.85546875" bestFit="1" customWidth="1"/>
    <col min="4" max="4" width="9.7109375" bestFit="1" customWidth="1"/>
    <col min="5" max="5" width="20.42578125" bestFit="1" customWidth="1"/>
    <col min="6" max="6" width="24.140625" bestFit="1" customWidth="1"/>
    <col min="7" max="8" width="7.5703125" bestFit="1" customWidth="1"/>
    <col min="9" max="9" width="19.7109375" bestFit="1" customWidth="1"/>
    <col min="10" max="11" width="9.5703125" bestFit="1" customWidth="1"/>
    <col min="12" max="12" width="9.140625" bestFit="1" customWidth="1"/>
    <col min="13" max="13" width="9.5703125" bestFit="1" customWidth="1"/>
    <col min="14" max="14" width="9.140625" bestFit="1" customWidth="1"/>
    <col min="15" max="15" width="9.5703125" bestFit="1" customWidth="1"/>
    <col min="16" max="16" width="15.28515625" bestFit="1" customWidth="1"/>
    <col min="17" max="21" width="15.140625" bestFit="1" customWidth="1"/>
    <col min="22" max="22" width="15.140625" hidden="1" customWidth="1"/>
    <col min="23" max="23" width="13.85546875" hidden="1" customWidth="1"/>
    <col min="24" max="41" width="7.42578125" hidden="1" customWidth="1"/>
    <col min="42" max="47" width="16" bestFit="1" customWidth="1"/>
    <col min="48" max="49" width="10.28515625" bestFit="1" customWidth="1"/>
    <col min="50" max="50" width="9.140625" bestFit="1" customWidth="1"/>
    <col min="51" max="53" width="10.28515625" bestFit="1" customWidth="1"/>
    <col min="54" max="59" width="11.42578125" bestFit="1" customWidth="1"/>
    <col min="60" max="65" width="14.42578125" hidden="1" customWidth="1"/>
    <col min="68" max="68" width="16.42578125" customWidth="1"/>
    <col min="69" max="69" width="14.42578125" customWidth="1"/>
    <col min="70" max="70" width="20.85546875" customWidth="1"/>
    <col min="72" max="72" width="20" customWidth="1"/>
    <col min="73" max="73" width="13.140625" bestFit="1" customWidth="1"/>
  </cols>
  <sheetData>
    <row r="1" spans="1:73" ht="15.75" thickBot="1" x14ac:dyDescent="0.3">
      <c r="A1" s="197"/>
      <c r="B1" s="199"/>
      <c r="C1" s="197" t="s">
        <v>130</v>
      </c>
      <c r="D1" s="198"/>
      <c r="E1" s="198"/>
      <c r="F1" s="198"/>
      <c r="G1" s="198"/>
      <c r="H1" s="199"/>
      <c r="I1" s="7" t="s">
        <v>175</v>
      </c>
      <c r="J1" s="197" t="s">
        <v>657</v>
      </c>
      <c r="K1" s="198"/>
      <c r="L1" s="198"/>
      <c r="M1" s="198"/>
      <c r="N1" s="198"/>
      <c r="O1" s="199"/>
      <c r="P1" s="197" t="s">
        <v>176</v>
      </c>
      <c r="Q1" s="198"/>
      <c r="R1" s="198"/>
      <c r="S1" s="198"/>
      <c r="T1" s="198"/>
      <c r="U1" s="199"/>
      <c r="V1" s="197" t="s">
        <v>133</v>
      </c>
      <c r="W1" s="199"/>
      <c r="X1" s="197" t="s">
        <v>134</v>
      </c>
      <c r="Y1" s="198"/>
      <c r="Z1" s="198"/>
      <c r="AA1" s="198"/>
      <c r="AB1" s="198"/>
      <c r="AC1" s="199"/>
      <c r="AD1" s="197" t="s">
        <v>135</v>
      </c>
      <c r="AE1" s="198"/>
      <c r="AF1" s="198"/>
      <c r="AG1" s="198"/>
      <c r="AH1" s="198"/>
      <c r="AI1" s="199"/>
      <c r="AJ1" s="197" t="s">
        <v>136</v>
      </c>
      <c r="AK1" s="198"/>
      <c r="AL1" s="198"/>
      <c r="AM1" s="198"/>
      <c r="AN1" s="198"/>
      <c r="AO1" s="199"/>
      <c r="AP1" s="197" t="s">
        <v>177</v>
      </c>
      <c r="AQ1" s="198"/>
      <c r="AR1" s="198"/>
      <c r="AS1" s="198"/>
      <c r="AT1" s="198"/>
      <c r="AU1" s="199"/>
      <c r="AV1" s="197" t="s">
        <v>138</v>
      </c>
      <c r="AW1" s="198"/>
      <c r="AX1" s="198"/>
      <c r="AY1" s="198"/>
      <c r="AZ1" s="198"/>
      <c r="BA1" s="199"/>
      <c r="BB1" s="197" t="s">
        <v>139</v>
      </c>
      <c r="BC1" s="198"/>
      <c r="BD1" s="198"/>
      <c r="BE1" s="198"/>
      <c r="BF1" s="198"/>
      <c r="BG1" s="199"/>
      <c r="BH1" s="197" t="s">
        <v>140</v>
      </c>
      <c r="BI1" s="198"/>
      <c r="BJ1" s="198"/>
      <c r="BK1" s="198"/>
      <c r="BL1" s="198"/>
      <c r="BM1" s="199"/>
    </row>
    <row r="2" spans="1:73" ht="15.75" thickBot="1" x14ac:dyDescent="0.3">
      <c r="A2" s="7" t="s">
        <v>141</v>
      </c>
      <c r="B2" s="7" t="s">
        <v>142</v>
      </c>
      <c r="C2" s="7">
        <v>2025</v>
      </c>
      <c r="D2" s="7">
        <v>2026</v>
      </c>
      <c r="E2" s="7">
        <v>2027</v>
      </c>
      <c r="F2" s="7">
        <v>2028</v>
      </c>
      <c r="G2" s="7">
        <v>2029</v>
      </c>
      <c r="H2" s="7">
        <v>2030</v>
      </c>
      <c r="I2" s="7" t="s">
        <v>143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2025</v>
      </c>
      <c r="Q2" s="7">
        <v>2026</v>
      </c>
      <c r="R2" s="7">
        <v>2027</v>
      </c>
      <c r="S2" s="7">
        <v>2028</v>
      </c>
      <c r="T2" s="7">
        <v>2029</v>
      </c>
      <c r="U2" s="7">
        <v>2030</v>
      </c>
      <c r="V2" s="7" t="s">
        <v>144</v>
      </c>
      <c r="W2" s="7" t="s">
        <v>145</v>
      </c>
      <c r="X2" s="7">
        <v>2025</v>
      </c>
      <c r="Y2" s="7">
        <v>2026</v>
      </c>
      <c r="Z2" s="7">
        <v>2027</v>
      </c>
      <c r="AA2" s="7">
        <v>2028</v>
      </c>
      <c r="AB2" s="7">
        <v>2029</v>
      </c>
      <c r="AC2" s="7">
        <v>2030</v>
      </c>
      <c r="AD2" s="7">
        <v>2025</v>
      </c>
      <c r="AE2" s="7">
        <v>2026</v>
      </c>
      <c r="AF2" s="7">
        <v>2027</v>
      </c>
      <c r="AG2" s="7">
        <v>2028</v>
      </c>
      <c r="AH2" s="7">
        <v>2029</v>
      </c>
      <c r="AI2" s="7">
        <v>2030</v>
      </c>
      <c r="AJ2" s="7">
        <v>2025</v>
      </c>
      <c r="AK2" s="7">
        <v>2026</v>
      </c>
      <c r="AL2" s="7">
        <v>2027</v>
      </c>
      <c r="AM2" s="7">
        <v>2028</v>
      </c>
      <c r="AN2" s="7">
        <v>2029</v>
      </c>
      <c r="AO2" s="7">
        <v>2030</v>
      </c>
      <c r="AP2" s="7">
        <v>2025</v>
      </c>
      <c r="AQ2" s="7">
        <v>2026</v>
      </c>
      <c r="AR2" s="7">
        <v>2027</v>
      </c>
      <c r="AS2" s="7">
        <v>2028</v>
      </c>
      <c r="AT2" s="7">
        <v>2029</v>
      </c>
      <c r="AU2" s="7">
        <v>2030</v>
      </c>
      <c r="AV2" s="7">
        <v>2025</v>
      </c>
      <c r="AW2" s="7">
        <v>2026</v>
      </c>
      <c r="AX2" s="7">
        <v>2027</v>
      </c>
      <c r="AY2" s="7">
        <v>2028</v>
      </c>
      <c r="AZ2" s="7">
        <v>2029</v>
      </c>
      <c r="BA2" s="7">
        <v>2030</v>
      </c>
      <c r="BB2" s="7">
        <v>2025</v>
      </c>
      <c r="BC2" s="7">
        <v>2026</v>
      </c>
      <c r="BD2" s="7">
        <v>2027</v>
      </c>
      <c r="BE2" s="7">
        <v>2028</v>
      </c>
      <c r="BF2" s="7">
        <v>2029</v>
      </c>
      <c r="BG2" s="7">
        <v>2030</v>
      </c>
      <c r="BH2" s="7">
        <v>2025</v>
      </c>
      <c r="BI2" s="7">
        <v>2026</v>
      </c>
      <c r="BJ2" s="7">
        <v>2027</v>
      </c>
      <c r="BK2" s="7">
        <v>2028</v>
      </c>
      <c r="BL2" s="7">
        <v>2029</v>
      </c>
      <c r="BM2" s="7">
        <v>2030</v>
      </c>
    </row>
    <row r="3" spans="1:73" ht="15.75" thickBot="1" x14ac:dyDescent="0.3">
      <c r="A3" s="7" t="s">
        <v>146</v>
      </c>
      <c r="B3" s="7"/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9">
        <v>2</v>
      </c>
      <c r="J3" s="88">
        <f>(AP3*100)/(BB3*X3)</f>
        <v>67.557211925711172</v>
      </c>
      <c r="K3" s="88">
        <f t="shared" ref="K3:O3" si="0">(AQ3*100)/(BC3*Y3)</f>
        <v>54.914822149335421</v>
      </c>
      <c r="L3" s="88">
        <f t="shared" si="0"/>
        <v>58.624756736211843</v>
      </c>
      <c r="M3" s="88">
        <f t="shared" si="0"/>
        <v>60.973549769846052</v>
      </c>
      <c r="N3" s="88">
        <f t="shared" si="0"/>
        <v>63.65347623540714</v>
      </c>
      <c r="O3" s="88">
        <f t="shared" si="0"/>
        <v>63.951245163366366</v>
      </c>
      <c r="P3" s="93">
        <f>$I$3*J3/100</f>
        <v>1.3511442385142234</v>
      </c>
      <c r="Q3" s="10">
        <f t="shared" ref="Q3:U3" si="1">$I$3*K3/100</f>
        <v>1.0982964429867084</v>
      </c>
      <c r="R3" s="10">
        <f t="shared" si="1"/>
        <v>1.1724951347242369</v>
      </c>
      <c r="S3" s="10">
        <f t="shared" si="1"/>
        <v>1.2194709953969209</v>
      </c>
      <c r="T3" s="10">
        <f t="shared" si="1"/>
        <v>1.2730695247081427</v>
      </c>
      <c r="U3" s="10">
        <f t="shared" si="1"/>
        <v>1.2790249032673273</v>
      </c>
      <c r="V3" s="11">
        <v>65</v>
      </c>
      <c r="W3" s="11">
        <v>40.5</v>
      </c>
      <c r="X3" s="12">
        <f>0.01*65</f>
        <v>0.65</v>
      </c>
      <c r="Y3" s="12">
        <f t="shared" ref="Y3:AC3" si="2">0.01*65</f>
        <v>0.65</v>
      </c>
      <c r="Z3" s="12">
        <f t="shared" si="2"/>
        <v>0.65</v>
      </c>
      <c r="AA3" s="12">
        <f t="shared" si="2"/>
        <v>0.65</v>
      </c>
      <c r="AB3" s="12">
        <f t="shared" si="2"/>
        <v>0.65</v>
      </c>
      <c r="AC3" s="12">
        <f t="shared" si="2"/>
        <v>0.65</v>
      </c>
      <c r="AD3" s="13">
        <v>61.41</v>
      </c>
      <c r="AE3" s="13">
        <v>49.42</v>
      </c>
      <c r="AF3" s="13">
        <v>53.13</v>
      </c>
      <c r="AG3" s="13">
        <v>55.5</v>
      </c>
      <c r="AH3" s="13">
        <v>58.15</v>
      </c>
      <c r="AI3" s="13">
        <v>58.5</v>
      </c>
      <c r="AJ3" s="14">
        <v>39.909999999999997</v>
      </c>
      <c r="AK3" s="14">
        <v>32.119999999999997</v>
      </c>
      <c r="AL3" s="14">
        <v>34.54</v>
      </c>
      <c r="AM3" s="14">
        <v>36.07</v>
      </c>
      <c r="AN3" s="14">
        <v>37.799999999999997</v>
      </c>
      <c r="AO3" s="14">
        <v>38.020000000000003</v>
      </c>
      <c r="AP3" s="15">
        <f t="shared" ref="AP3:AU3" si="3">SUM(AP4:AP1048576)</f>
        <v>5319.5224242424229</v>
      </c>
      <c r="AQ3" s="15">
        <f t="shared" si="3"/>
        <v>4840.1924242424238</v>
      </c>
      <c r="AR3" s="15">
        <f t="shared" si="3"/>
        <v>5169.4724242424236</v>
      </c>
      <c r="AS3" s="15">
        <f t="shared" si="3"/>
        <v>5393.2324242424229</v>
      </c>
      <c r="AT3" s="15">
        <f t="shared" si="3"/>
        <v>5605.4524242424241</v>
      </c>
      <c r="AU3" s="15">
        <f t="shared" si="3"/>
        <v>5679.0624242424237</v>
      </c>
      <c r="AV3" s="16">
        <f t="shared" ref="AV3:BG3" si="4">AVERAGEIF(AV4:AV1048576,"&lt;&gt;0")</f>
        <v>7874.100000000004</v>
      </c>
      <c r="AW3" s="16">
        <f t="shared" si="4"/>
        <v>8814</v>
      </c>
      <c r="AX3" s="16">
        <f t="shared" si="4"/>
        <v>8817.8999999999978</v>
      </c>
      <c r="AY3" s="16">
        <f t="shared" si="4"/>
        <v>8845.2000000000044</v>
      </c>
      <c r="AZ3" s="16">
        <f t="shared" si="4"/>
        <v>8806.2000000000044</v>
      </c>
      <c r="BA3" s="16">
        <f t="shared" si="4"/>
        <v>8880.2999999999956</v>
      </c>
      <c r="BB3" s="16">
        <f t="shared" si="4"/>
        <v>12114</v>
      </c>
      <c r="BC3" s="16">
        <f t="shared" si="4"/>
        <v>13560</v>
      </c>
      <c r="BD3" s="16">
        <f t="shared" si="4"/>
        <v>13566</v>
      </c>
      <c r="BE3" s="16">
        <f t="shared" si="4"/>
        <v>13608</v>
      </c>
      <c r="BF3" s="16">
        <f t="shared" si="4"/>
        <v>13548</v>
      </c>
      <c r="BG3" s="16">
        <f t="shared" si="4"/>
        <v>13662</v>
      </c>
      <c r="BH3" s="18">
        <v>3794678</v>
      </c>
      <c r="BI3" s="18">
        <v>3344041</v>
      </c>
      <c r="BJ3" s="18">
        <v>3591114</v>
      </c>
      <c r="BK3" s="18">
        <v>3788571</v>
      </c>
      <c r="BL3" s="18">
        <v>3984658</v>
      </c>
      <c r="BM3" s="18">
        <v>4089528</v>
      </c>
      <c r="BP3" s="109"/>
      <c r="BQ3" s="109"/>
      <c r="BR3" s="109"/>
      <c r="BS3" s="109"/>
      <c r="BT3" s="109"/>
      <c r="BU3" s="109"/>
    </row>
    <row r="4" spans="1:73" ht="15.75" thickBot="1" x14ac:dyDescent="0.3">
      <c r="A4" s="19"/>
      <c r="B4" s="19" t="s">
        <v>270</v>
      </c>
      <c r="C4" s="20">
        <v>1</v>
      </c>
      <c r="D4" s="20">
        <v>1</v>
      </c>
      <c r="E4" s="20">
        <v>1</v>
      </c>
      <c r="F4" s="20">
        <v>1</v>
      </c>
      <c r="G4" s="20">
        <v>1</v>
      </c>
      <c r="H4" s="20">
        <v>1</v>
      </c>
      <c r="I4" s="21">
        <v>2</v>
      </c>
      <c r="J4" s="87"/>
      <c r="K4" s="87"/>
      <c r="L4" s="87"/>
      <c r="M4" s="87"/>
      <c r="N4" s="87"/>
      <c r="O4" s="87"/>
      <c r="P4" s="22">
        <v>1.22</v>
      </c>
      <c r="Q4" s="22">
        <v>0.99</v>
      </c>
      <c r="R4" s="22">
        <v>1.06</v>
      </c>
      <c r="S4" s="22">
        <v>1.1100000000000001</v>
      </c>
      <c r="T4" s="22">
        <v>1.1599999999999999</v>
      </c>
      <c r="U4" s="22">
        <v>1.17</v>
      </c>
      <c r="V4" s="23">
        <v>65</v>
      </c>
      <c r="W4" s="23">
        <v>40.5</v>
      </c>
      <c r="X4" s="24">
        <v>65</v>
      </c>
      <c r="Y4" s="24">
        <v>65</v>
      </c>
      <c r="Z4" s="24">
        <v>65</v>
      </c>
      <c r="AA4" s="24">
        <v>65</v>
      </c>
      <c r="AB4" s="24">
        <v>65</v>
      </c>
      <c r="AC4" s="24">
        <v>65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6">
        <v>0</v>
      </c>
      <c r="AK4" s="26">
        <v>0</v>
      </c>
      <c r="AL4" s="26">
        <v>0</v>
      </c>
      <c r="AM4" s="26">
        <v>0</v>
      </c>
      <c r="AN4" s="26">
        <v>0</v>
      </c>
      <c r="AO4" s="26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8">
        <v>7874.1</v>
      </c>
      <c r="AW4" s="28">
        <v>8814</v>
      </c>
      <c r="AX4" s="28">
        <v>8817.9</v>
      </c>
      <c r="AY4" s="28">
        <v>8845.2000000000007</v>
      </c>
      <c r="AZ4" s="28">
        <v>8806.2000000000007</v>
      </c>
      <c r="BA4" s="28">
        <v>8880.2999999999993</v>
      </c>
      <c r="BB4" s="29">
        <v>12114</v>
      </c>
      <c r="BC4" s="29">
        <v>13560</v>
      </c>
      <c r="BD4" s="29">
        <v>13566</v>
      </c>
      <c r="BE4" s="29">
        <v>13608</v>
      </c>
      <c r="BF4" s="29">
        <v>13548</v>
      </c>
      <c r="BG4" s="29">
        <v>13662</v>
      </c>
      <c r="BH4" s="30">
        <v>0</v>
      </c>
      <c r="BI4" s="30">
        <v>0</v>
      </c>
      <c r="BJ4" s="30">
        <v>0</v>
      </c>
      <c r="BK4" s="30">
        <v>0</v>
      </c>
      <c r="BL4" s="30">
        <v>0</v>
      </c>
      <c r="BM4" s="30">
        <v>0</v>
      </c>
      <c r="BP4" s="110"/>
      <c r="BQ4" s="94"/>
      <c r="BR4" s="94"/>
      <c r="BS4" s="94"/>
      <c r="BT4" s="94"/>
      <c r="BU4" s="94"/>
    </row>
    <row r="5" spans="1:73" ht="15.75" thickBot="1" x14ac:dyDescent="0.3">
      <c r="A5" s="19" t="s">
        <v>658</v>
      </c>
      <c r="B5" s="19" t="s">
        <v>311</v>
      </c>
      <c r="C5" s="20">
        <v>1</v>
      </c>
      <c r="D5" s="20">
        <v>1</v>
      </c>
      <c r="E5" s="20">
        <v>1</v>
      </c>
      <c r="F5" s="20">
        <v>1</v>
      </c>
      <c r="G5" s="20">
        <v>1</v>
      </c>
      <c r="H5" s="20">
        <v>1</v>
      </c>
      <c r="I5" s="21">
        <v>2</v>
      </c>
      <c r="J5" s="87"/>
      <c r="K5" s="87"/>
      <c r="L5" s="87"/>
      <c r="M5" s="87"/>
      <c r="N5" s="87"/>
      <c r="O5" s="87"/>
      <c r="P5" s="22">
        <v>1.22</v>
      </c>
      <c r="Q5" s="22">
        <v>0.99</v>
      </c>
      <c r="R5" s="22">
        <v>1.06</v>
      </c>
      <c r="S5" s="22">
        <v>1.1100000000000001</v>
      </c>
      <c r="T5" s="22">
        <v>1.1599999999999999</v>
      </c>
      <c r="U5" s="22">
        <v>1.17</v>
      </c>
      <c r="V5" s="23">
        <v>65</v>
      </c>
      <c r="W5" s="23">
        <v>40.5</v>
      </c>
      <c r="X5" s="24">
        <v>65</v>
      </c>
      <c r="Y5" s="24">
        <v>65</v>
      </c>
      <c r="Z5" s="24">
        <v>65</v>
      </c>
      <c r="AA5" s="24">
        <v>65</v>
      </c>
      <c r="AB5" s="24">
        <v>65</v>
      </c>
      <c r="AC5" s="24">
        <v>65</v>
      </c>
      <c r="AD5" s="25">
        <v>3.75</v>
      </c>
      <c r="AE5" s="25">
        <v>1.61</v>
      </c>
      <c r="AF5" s="25">
        <v>1.59</v>
      </c>
      <c r="AG5" s="25">
        <v>1.56</v>
      </c>
      <c r="AH5" s="25">
        <v>1.54</v>
      </c>
      <c r="AI5" s="25">
        <v>1.5</v>
      </c>
      <c r="AJ5" s="26">
        <v>2.44</v>
      </c>
      <c r="AK5" s="26">
        <v>1.05</v>
      </c>
      <c r="AL5" s="26">
        <v>1.03</v>
      </c>
      <c r="AM5" s="26">
        <v>1.01</v>
      </c>
      <c r="AN5" s="26">
        <v>1</v>
      </c>
      <c r="AO5" s="26">
        <v>0.98</v>
      </c>
      <c r="AP5" s="27">
        <v>295.25</v>
      </c>
      <c r="AQ5" s="27">
        <v>142.09</v>
      </c>
      <c r="AR5" s="27">
        <v>139.93</v>
      </c>
      <c r="AS5" s="27">
        <v>137.76</v>
      </c>
      <c r="AT5" s="27">
        <v>135.6</v>
      </c>
      <c r="AU5" s="27">
        <v>133.44</v>
      </c>
      <c r="AV5" s="28">
        <v>7874.1</v>
      </c>
      <c r="AW5" s="28">
        <v>8814</v>
      </c>
      <c r="AX5" s="28">
        <v>8817.9</v>
      </c>
      <c r="AY5" s="28">
        <v>8845.2000000000007</v>
      </c>
      <c r="AZ5" s="28">
        <v>8806.2000000000007</v>
      </c>
      <c r="BA5" s="28">
        <v>8880.2999999999993</v>
      </c>
      <c r="BB5" s="29">
        <v>12114</v>
      </c>
      <c r="BC5" s="29">
        <v>13560</v>
      </c>
      <c r="BD5" s="29">
        <v>13566</v>
      </c>
      <c r="BE5" s="29">
        <v>13608</v>
      </c>
      <c r="BF5" s="29">
        <v>13548</v>
      </c>
      <c r="BG5" s="29">
        <v>13662</v>
      </c>
      <c r="BH5" s="30">
        <v>265728</v>
      </c>
      <c r="BI5" s="30">
        <v>129828</v>
      </c>
      <c r="BJ5" s="30">
        <v>129828</v>
      </c>
      <c r="BK5" s="30">
        <v>129828</v>
      </c>
      <c r="BL5" s="30">
        <v>129828</v>
      </c>
      <c r="BM5" s="30">
        <v>129828</v>
      </c>
    </row>
    <row r="6" spans="1:73" ht="15.75" thickBot="1" x14ac:dyDescent="0.3">
      <c r="A6" s="19" t="s">
        <v>659</v>
      </c>
      <c r="B6" s="19" t="s">
        <v>312</v>
      </c>
      <c r="C6" s="20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1">
        <v>2</v>
      </c>
      <c r="J6" s="87"/>
      <c r="K6" s="87"/>
      <c r="L6" s="87"/>
      <c r="M6" s="87"/>
      <c r="N6" s="87"/>
      <c r="O6" s="87"/>
      <c r="P6" s="22">
        <v>1.22</v>
      </c>
      <c r="Q6" s="22">
        <v>0.99</v>
      </c>
      <c r="R6" s="22">
        <v>1.06</v>
      </c>
      <c r="S6" s="22">
        <v>1.1100000000000001</v>
      </c>
      <c r="T6" s="22">
        <v>1.1599999999999999</v>
      </c>
      <c r="U6" s="22">
        <v>1.17</v>
      </c>
      <c r="V6" s="23">
        <v>65</v>
      </c>
      <c r="W6" s="23">
        <v>40.5</v>
      </c>
      <c r="X6" s="24">
        <v>65</v>
      </c>
      <c r="Y6" s="24">
        <v>65</v>
      </c>
      <c r="Z6" s="24">
        <v>65</v>
      </c>
      <c r="AA6" s="24">
        <v>65</v>
      </c>
      <c r="AB6" s="24">
        <v>65</v>
      </c>
      <c r="AC6" s="24">
        <v>65</v>
      </c>
      <c r="AD6" s="25">
        <v>0.05</v>
      </c>
      <c r="AE6" s="25">
        <v>0</v>
      </c>
      <c r="AF6" s="25">
        <v>0</v>
      </c>
      <c r="AG6" s="25">
        <v>0</v>
      </c>
      <c r="AH6" s="25">
        <v>0</v>
      </c>
      <c r="AI6" s="25">
        <v>0</v>
      </c>
      <c r="AJ6" s="26">
        <v>0.03</v>
      </c>
      <c r="AK6" s="26">
        <v>0</v>
      </c>
      <c r="AL6" s="26">
        <v>0</v>
      </c>
      <c r="AM6" s="26">
        <v>0</v>
      </c>
      <c r="AN6" s="26">
        <v>0</v>
      </c>
      <c r="AO6" s="26">
        <v>0</v>
      </c>
      <c r="AP6" s="27">
        <v>4.17</v>
      </c>
      <c r="AQ6" s="27">
        <v>0</v>
      </c>
      <c r="AR6" s="27">
        <v>0</v>
      </c>
      <c r="AS6" s="27">
        <v>0</v>
      </c>
      <c r="AT6" s="27">
        <v>0</v>
      </c>
      <c r="AU6" s="27">
        <v>0</v>
      </c>
      <c r="AV6" s="28">
        <v>7874.1</v>
      </c>
      <c r="AW6" s="28">
        <v>8814</v>
      </c>
      <c r="AX6" s="28">
        <v>8817.9</v>
      </c>
      <c r="AY6" s="28">
        <v>8845.2000000000007</v>
      </c>
      <c r="AZ6" s="28">
        <v>8806.2000000000007</v>
      </c>
      <c r="BA6" s="28">
        <v>8880.2999999999993</v>
      </c>
      <c r="BB6" s="29">
        <v>12114</v>
      </c>
      <c r="BC6" s="29">
        <v>13560</v>
      </c>
      <c r="BD6" s="29">
        <v>13566</v>
      </c>
      <c r="BE6" s="29">
        <v>13608</v>
      </c>
      <c r="BF6" s="29">
        <v>13548</v>
      </c>
      <c r="BG6" s="29">
        <v>13662</v>
      </c>
      <c r="BH6" s="30">
        <v>2000</v>
      </c>
      <c r="BI6" s="30">
        <v>0</v>
      </c>
      <c r="BJ6" s="30">
        <v>0</v>
      </c>
      <c r="BK6" s="30">
        <v>0</v>
      </c>
      <c r="BL6" s="30">
        <v>0</v>
      </c>
      <c r="BM6" s="30">
        <v>0</v>
      </c>
    </row>
    <row r="7" spans="1:73" ht="15.75" thickBot="1" x14ac:dyDescent="0.3">
      <c r="A7" s="19" t="s">
        <v>660</v>
      </c>
      <c r="B7" s="19" t="s">
        <v>313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1">
        <v>2</v>
      </c>
      <c r="J7" s="87"/>
      <c r="K7" s="87"/>
      <c r="L7" s="87"/>
      <c r="M7" s="87"/>
      <c r="N7" s="87"/>
      <c r="O7" s="87"/>
      <c r="P7" s="22">
        <v>1.22</v>
      </c>
      <c r="Q7" s="22">
        <v>0.99</v>
      </c>
      <c r="R7" s="22">
        <v>1.06</v>
      </c>
      <c r="S7" s="22">
        <v>1.1100000000000001</v>
      </c>
      <c r="T7" s="22">
        <v>1.1599999999999999</v>
      </c>
      <c r="U7" s="22">
        <v>1.17</v>
      </c>
      <c r="V7" s="23">
        <v>65</v>
      </c>
      <c r="W7" s="23">
        <v>40.5</v>
      </c>
      <c r="X7" s="24">
        <v>65</v>
      </c>
      <c r="Y7" s="24">
        <v>65</v>
      </c>
      <c r="Z7" s="24">
        <v>65</v>
      </c>
      <c r="AA7" s="24">
        <v>65</v>
      </c>
      <c r="AB7" s="24">
        <v>65</v>
      </c>
      <c r="AC7" s="24">
        <v>65</v>
      </c>
      <c r="AD7" s="25">
        <v>0.04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6">
        <v>0.03</v>
      </c>
      <c r="AK7" s="26">
        <v>0</v>
      </c>
      <c r="AL7" s="26">
        <v>0</v>
      </c>
      <c r="AM7" s="26">
        <v>0</v>
      </c>
      <c r="AN7" s="26">
        <v>0</v>
      </c>
      <c r="AO7" s="26">
        <v>0</v>
      </c>
      <c r="AP7" s="27">
        <v>3.16</v>
      </c>
      <c r="AQ7" s="27">
        <v>0</v>
      </c>
      <c r="AR7" s="27">
        <v>0</v>
      </c>
      <c r="AS7" s="27">
        <v>0</v>
      </c>
      <c r="AT7" s="27">
        <v>0</v>
      </c>
      <c r="AU7" s="27">
        <v>0</v>
      </c>
      <c r="AV7" s="28">
        <v>7874.1</v>
      </c>
      <c r="AW7" s="28">
        <v>8814</v>
      </c>
      <c r="AX7" s="28">
        <v>8817.9</v>
      </c>
      <c r="AY7" s="28">
        <v>8845.2000000000007</v>
      </c>
      <c r="AZ7" s="28">
        <v>8806.2000000000007</v>
      </c>
      <c r="BA7" s="28">
        <v>8880.2999999999993</v>
      </c>
      <c r="BB7" s="29">
        <v>12114</v>
      </c>
      <c r="BC7" s="29">
        <v>13560</v>
      </c>
      <c r="BD7" s="29">
        <v>13566</v>
      </c>
      <c r="BE7" s="29">
        <v>13608</v>
      </c>
      <c r="BF7" s="29">
        <v>13548</v>
      </c>
      <c r="BG7" s="29">
        <v>13662</v>
      </c>
      <c r="BH7" s="30">
        <v>2000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</row>
    <row r="8" spans="1:73" ht="15.75" thickBot="1" x14ac:dyDescent="0.3">
      <c r="A8" s="19" t="s">
        <v>661</v>
      </c>
      <c r="B8" s="19" t="s">
        <v>314</v>
      </c>
      <c r="C8" s="20">
        <v>1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1">
        <v>2</v>
      </c>
      <c r="J8" s="87"/>
      <c r="K8" s="87"/>
      <c r="L8" s="87"/>
      <c r="M8" s="87"/>
      <c r="N8" s="87"/>
      <c r="O8" s="87"/>
      <c r="P8" s="22">
        <v>1.22</v>
      </c>
      <c r="Q8" s="22">
        <v>0.99</v>
      </c>
      <c r="R8" s="22">
        <v>1.06</v>
      </c>
      <c r="S8" s="22">
        <v>1.1100000000000001</v>
      </c>
      <c r="T8" s="22">
        <v>1.1599999999999999</v>
      </c>
      <c r="U8" s="22">
        <v>1.17</v>
      </c>
      <c r="V8" s="23">
        <v>65</v>
      </c>
      <c r="W8" s="23">
        <v>40.5</v>
      </c>
      <c r="X8" s="24">
        <v>65</v>
      </c>
      <c r="Y8" s="24">
        <v>65</v>
      </c>
      <c r="Z8" s="24">
        <v>65</v>
      </c>
      <c r="AA8" s="24">
        <v>65</v>
      </c>
      <c r="AB8" s="24">
        <v>65</v>
      </c>
      <c r="AC8" s="24">
        <v>65</v>
      </c>
      <c r="AD8" s="25">
        <v>0.05</v>
      </c>
      <c r="AE8" s="25">
        <v>0</v>
      </c>
      <c r="AF8" s="25">
        <v>0</v>
      </c>
      <c r="AG8" s="25">
        <v>0</v>
      </c>
      <c r="AH8" s="25">
        <v>0</v>
      </c>
      <c r="AI8" s="25">
        <v>0</v>
      </c>
      <c r="AJ8" s="26">
        <v>0.03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27">
        <v>3.8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8">
        <v>7874.1</v>
      </c>
      <c r="AW8" s="28">
        <v>8814</v>
      </c>
      <c r="AX8" s="28">
        <v>8817.9</v>
      </c>
      <c r="AY8" s="28">
        <v>8845.2000000000007</v>
      </c>
      <c r="AZ8" s="28">
        <v>8806.2000000000007</v>
      </c>
      <c r="BA8" s="28">
        <v>8880.2999999999993</v>
      </c>
      <c r="BB8" s="29">
        <v>12114</v>
      </c>
      <c r="BC8" s="29">
        <v>13560</v>
      </c>
      <c r="BD8" s="29">
        <v>13566</v>
      </c>
      <c r="BE8" s="29">
        <v>13608</v>
      </c>
      <c r="BF8" s="29">
        <v>13548</v>
      </c>
      <c r="BG8" s="29">
        <v>13662</v>
      </c>
      <c r="BH8" s="30">
        <v>2000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</row>
    <row r="9" spans="1:73" ht="15.75" thickBot="1" x14ac:dyDescent="0.3">
      <c r="A9" s="19" t="s">
        <v>662</v>
      </c>
      <c r="B9" s="19" t="s">
        <v>315</v>
      </c>
      <c r="C9" s="20">
        <v>1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1">
        <v>2</v>
      </c>
      <c r="J9" s="87"/>
      <c r="K9" s="87"/>
      <c r="L9" s="87"/>
      <c r="M9" s="87"/>
      <c r="N9" s="87"/>
      <c r="O9" s="87"/>
      <c r="P9" s="22">
        <v>1.22</v>
      </c>
      <c r="Q9" s="22">
        <v>0.99</v>
      </c>
      <c r="R9" s="22">
        <v>1.06</v>
      </c>
      <c r="S9" s="22">
        <v>1.1100000000000001</v>
      </c>
      <c r="T9" s="22">
        <v>1.1599999999999999</v>
      </c>
      <c r="U9" s="22">
        <v>1.17</v>
      </c>
      <c r="V9" s="23">
        <v>65</v>
      </c>
      <c r="W9" s="23">
        <v>40.5</v>
      </c>
      <c r="X9" s="24">
        <v>65</v>
      </c>
      <c r="Y9" s="24">
        <v>65</v>
      </c>
      <c r="Z9" s="24">
        <v>65</v>
      </c>
      <c r="AA9" s="24">
        <v>65</v>
      </c>
      <c r="AB9" s="24">
        <v>65</v>
      </c>
      <c r="AC9" s="24">
        <v>65</v>
      </c>
      <c r="AD9" s="25">
        <v>0.05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6">
        <v>0.03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7">
        <v>3.81</v>
      </c>
      <c r="AQ9" s="27">
        <v>0</v>
      </c>
      <c r="AR9" s="27">
        <v>0</v>
      </c>
      <c r="AS9" s="27">
        <v>0</v>
      </c>
      <c r="AT9" s="27">
        <v>0</v>
      </c>
      <c r="AU9" s="27">
        <v>0</v>
      </c>
      <c r="AV9" s="28">
        <v>7874.1</v>
      </c>
      <c r="AW9" s="28">
        <v>8814</v>
      </c>
      <c r="AX9" s="28">
        <v>8817.9</v>
      </c>
      <c r="AY9" s="28">
        <v>8845.2000000000007</v>
      </c>
      <c r="AZ9" s="28">
        <v>8806.2000000000007</v>
      </c>
      <c r="BA9" s="28">
        <v>8880.2999999999993</v>
      </c>
      <c r="BB9" s="29">
        <v>12114</v>
      </c>
      <c r="BC9" s="29">
        <v>13560</v>
      </c>
      <c r="BD9" s="29">
        <v>13566</v>
      </c>
      <c r="BE9" s="29">
        <v>13608</v>
      </c>
      <c r="BF9" s="29">
        <v>13548</v>
      </c>
      <c r="BG9" s="29">
        <v>13662</v>
      </c>
      <c r="BH9" s="30">
        <v>2000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</row>
    <row r="10" spans="1:73" ht="15.75" thickBot="1" x14ac:dyDescent="0.3">
      <c r="A10" s="19" t="s">
        <v>663</v>
      </c>
      <c r="B10" s="19" t="s">
        <v>316</v>
      </c>
      <c r="C10" s="20">
        <v>1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1">
        <v>2</v>
      </c>
      <c r="J10" s="87"/>
      <c r="K10" s="87"/>
      <c r="L10" s="87"/>
      <c r="M10" s="87"/>
      <c r="N10" s="87"/>
      <c r="O10" s="87"/>
      <c r="P10" s="22">
        <v>1.22</v>
      </c>
      <c r="Q10" s="22">
        <v>0.99</v>
      </c>
      <c r="R10" s="22">
        <v>1.06</v>
      </c>
      <c r="S10" s="22">
        <v>1.1100000000000001</v>
      </c>
      <c r="T10" s="22">
        <v>1.1599999999999999</v>
      </c>
      <c r="U10" s="22">
        <v>1.17</v>
      </c>
      <c r="V10" s="23">
        <v>65</v>
      </c>
      <c r="W10" s="23">
        <v>40.5</v>
      </c>
      <c r="X10" s="24">
        <v>65</v>
      </c>
      <c r="Y10" s="24">
        <v>65</v>
      </c>
      <c r="Z10" s="24">
        <v>65</v>
      </c>
      <c r="AA10" s="24">
        <v>65</v>
      </c>
      <c r="AB10" s="24">
        <v>65</v>
      </c>
      <c r="AC10" s="24">
        <v>65</v>
      </c>
      <c r="AD10" s="25">
        <v>0.05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6">
        <v>0.03</v>
      </c>
      <c r="AK10" s="26">
        <v>0</v>
      </c>
      <c r="AL10" s="26">
        <v>0</v>
      </c>
      <c r="AM10" s="26">
        <v>0</v>
      </c>
      <c r="AN10" s="26">
        <v>0</v>
      </c>
      <c r="AO10" s="26">
        <v>0</v>
      </c>
      <c r="AP10" s="27">
        <v>3.81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8">
        <v>7874.1</v>
      </c>
      <c r="AW10" s="28">
        <v>8814</v>
      </c>
      <c r="AX10" s="28">
        <v>8817.9</v>
      </c>
      <c r="AY10" s="28">
        <v>8845.2000000000007</v>
      </c>
      <c r="AZ10" s="28">
        <v>8806.2000000000007</v>
      </c>
      <c r="BA10" s="28">
        <v>8880.2999999999993</v>
      </c>
      <c r="BB10" s="29">
        <v>12114</v>
      </c>
      <c r="BC10" s="29">
        <v>13560</v>
      </c>
      <c r="BD10" s="29">
        <v>13566</v>
      </c>
      <c r="BE10" s="29">
        <v>13608</v>
      </c>
      <c r="BF10" s="29">
        <v>13548</v>
      </c>
      <c r="BG10" s="29">
        <v>13662</v>
      </c>
      <c r="BH10" s="30">
        <v>2000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</row>
    <row r="11" spans="1:73" ht="15.75" thickBot="1" x14ac:dyDescent="0.3">
      <c r="A11" s="19" t="s">
        <v>664</v>
      </c>
      <c r="B11" s="19" t="s">
        <v>317</v>
      </c>
      <c r="C11" s="20">
        <v>1</v>
      </c>
      <c r="D11" s="20">
        <v>1</v>
      </c>
      <c r="E11" s="20">
        <v>1</v>
      </c>
      <c r="F11" s="20">
        <v>1</v>
      </c>
      <c r="G11" s="20">
        <v>1</v>
      </c>
      <c r="H11" s="20">
        <v>1</v>
      </c>
      <c r="I11" s="21">
        <v>2</v>
      </c>
      <c r="J11" s="87"/>
      <c r="K11" s="87"/>
      <c r="L11" s="87"/>
      <c r="M11" s="87"/>
      <c r="N11" s="87"/>
      <c r="O11" s="87"/>
      <c r="P11" s="22">
        <v>1.22</v>
      </c>
      <c r="Q11" s="22">
        <v>0.99</v>
      </c>
      <c r="R11" s="22">
        <v>1.06</v>
      </c>
      <c r="S11" s="22">
        <v>1.1100000000000001</v>
      </c>
      <c r="T11" s="22">
        <v>1.1599999999999999</v>
      </c>
      <c r="U11" s="22">
        <v>1.17</v>
      </c>
      <c r="V11" s="23">
        <v>65</v>
      </c>
      <c r="W11" s="23">
        <v>40.5</v>
      </c>
      <c r="X11" s="24">
        <v>65</v>
      </c>
      <c r="Y11" s="24">
        <v>65</v>
      </c>
      <c r="Z11" s="24">
        <v>65</v>
      </c>
      <c r="AA11" s="24">
        <v>65</v>
      </c>
      <c r="AB11" s="24">
        <v>65</v>
      </c>
      <c r="AC11" s="24">
        <v>65</v>
      </c>
      <c r="AD11" s="25">
        <v>1.87</v>
      </c>
      <c r="AE11" s="25">
        <v>1.64</v>
      </c>
      <c r="AF11" s="25">
        <v>1.61</v>
      </c>
      <c r="AG11" s="25">
        <v>1.58</v>
      </c>
      <c r="AH11" s="25">
        <v>1.57</v>
      </c>
      <c r="AI11" s="25">
        <v>1.53</v>
      </c>
      <c r="AJ11" s="26">
        <v>1.21</v>
      </c>
      <c r="AK11" s="26">
        <v>1.07</v>
      </c>
      <c r="AL11" s="26">
        <v>1.05</v>
      </c>
      <c r="AM11" s="26">
        <v>1.03</v>
      </c>
      <c r="AN11" s="26">
        <v>1.02</v>
      </c>
      <c r="AO11" s="26">
        <v>0.99</v>
      </c>
      <c r="AP11" s="27">
        <v>147.16999999999999</v>
      </c>
      <c r="AQ11" s="27">
        <v>144.41999999999999</v>
      </c>
      <c r="AR11" s="27">
        <v>142.22999999999999</v>
      </c>
      <c r="AS11" s="27">
        <v>140.03</v>
      </c>
      <c r="AT11" s="27">
        <v>137.83000000000001</v>
      </c>
      <c r="AU11" s="27">
        <v>135.63</v>
      </c>
      <c r="AV11" s="28">
        <v>7874.1</v>
      </c>
      <c r="AW11" s="28">
        <v>8814</v>
      </c>
      <c r="AX11" s="28">
        <v>8817.9</v>
      </c>
      <c r="AY11" s="28">
        <v>8845.2000000000007</v>
      </c>
      <c r="AZ11" s="28">
        <v>8806.2000000000007</v>
      </c>
      <c r="BA11" s="28">
        <v>8880.2999999999993</v>
      </c>
      <c r="BB11" s="29">
        <v>12114</v>
      </c>
      <c r="BC11" s="29">
        <v>13560</v>
      </c>
      <c r="BD11" s="29">
        <v>13566</v>
      </c>
      <c r="BE11" s="29">
        <v>13608</v>
      </c>
      <c r="BF11" s="29">
        <v>13548</v>
      </c>
      <c r="BG11" s="29">
        <v>13662</v>
      </c>
      <c r="BH11" s="30">
        <v>79473</v>
      </c>
      <c r="BI11" s="30">
        <v>79177</v>
      </c>
      <c r="BJ11" s="30">
        <v>79177</v>
      </c>
      <c r="BK11" s="30">
        <v>79177</v>
      </c>
      <c r="BL11" s="30">
        <v>79177</v>
      </c>
      <c r="BM11" s="30">
        <v>79177</v>
      </c>
    </row>
    <row r="12" spans="1:73" ht="15.75" thickBot="1" x14ac:dyDescent="0.3">
      <c r="A12" s="19" t="s">
        <v>665</v>
      </c>
      <c r="B12" s="19" t="s">
        <v>318</v>
      </c>
      <c r="C12" s="20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1">
        <v>2</v>
      </c>
      <c r="J12" s="87"/>
      <c r="K12" s="87"/>
      <c r="L12" s="87"/>
      <c r="M12" s="87"/>
      <c r="N12" s="87"/>
      <c r="O12" s="87"/>
      <c r="P12" s="22">
        <v>1.22</v>
      </c>
      <c r="Q12" s="22">
        <v>0.99</v>
      </c>
      <c r="R12" s="22">
        <v>1.06</v>
      </c>
      <c r="S12" s="22">
        <v>1.1100000000000001</v>
      </c>
      <c r="T12" s="22">
        <v>1.1599999999999999</v>
      </c>
      <c r="U12" s="22">
        <v>1.17</v>
      </c>
      <c r="V12" s="23">
        <v>65</v>
      </c>
      <c r="W12" s="23">
        <v>40.5</v>
      </c>
      <c r="X12" s="24">
        <v>65</v>
      </c>
      <c r="Y12" s="24">
        <v>65</v>
      </c>
      <c r="Z12" s="24">
        <v>65</v>
      </c>
      <c r="AA12" s="24">
        <v>65</v>
      </c>
      <c r="AB12" s="24">
        <v>65</v>
      </c>
      <c r="AC12" s="24">
        <v>65</v>
      </c>
      <c r="AD12" s="25">
        <v>1.9</v>
      </c>
      <c r="AE12" s="25">
        <v>1.47</v>
      </c>
      <c r="AF12" s="25">
        <v>1.45</v>
      </c>
      <c r="AG12" s="25">
        <v>1.42</v>
      </c>
      <c r="AH12" s="25">
        <v>1.4</v>
      </c>
      <c r="AI12" s="25">
        <v>1.37</v>
      </c>
      <c r="AJ12" s="26">
        <v>1.24</v>
      </c>
      <c r="AK12" s="26">
        <v>0.96</v>
      </c>
      <c r="AL12" s="26">
        <v>0.94</v>
      </c>
      <c r="AM12" s="26">
        <v>0.92</v>
      </c>
      <c r="AN12" s="26">
        <v>0.91</v>
      </c>
      <c r="AO12" s="26">
        <v>0.89</v>
      </c>
      <c r="AP12" s="27">
        <v>149.68</v>
      </c>
      <c r="AQ12" s="27">
        <v>129.61000000000001</v>
      </c>
      <c r="AR12" s="27">
        <v>127.63</v>
      </c>
      <c r="AS12" s="27">
        <v>125.66</v>
      </c>
      <c r="AT12" s="27">
        <v>123.69</v>
      </c>
      <c r="AU12" s="27">
        <v>121.71</v>
      </c>
      <c r="AV12" s="28">
        <v>7874.1</v>
      </c>
      <c r="AW12" s="28">
        <v>8814</v>
      </c>
      <c r="AX12" s="28">
        <v>8817.9</v>
      </c>
      <c r="AY12" s="28">
        <v>8845.2000000000007</v>
      </c>
      <c r="AZ12" s="28">
        <v>8806.2000000000007</v>
      </c>
      <c r="BA12" s="28">
        <v>8880.2999999999993</v>
      </c>
      <c r="BB12" s="29">
        <v>12114</v>
      </c>
      <c r="BC12" s="29">
        <v>13560</v>
      </c>
      <c r="BD12" s="29">
        <v>13566</v>
      </c>
      <c r="BE12" s="29">
        <v>13608</v>
      </c>
      <c r="BF12" s="29">
        <v>13548</v>
      </c>
      <c r="BG12" s="29">
        <v>13662</v>
      </c>
      <c r="BH12" s="30">
        <v>134118</v>
      </c>
      <c r="BI12" s="30">
        <v>117897</v>
      </c>
      <c r="BJ12" s="30">
        <v>117897</v>
      </c>
      <c r="BK12" s="30">
        <v>117897</v>
      </c>
      <c r="BL12" s="30">
        <v>117897</v>
      </c>
      <c r="BM12" s="30">
        <v>117897</v>
      </c>
    </row>
    <row r="13" spans="1:73" ht="15.75" thickBot="1" x14ac:dyDescent="0.3">
      <c r="A13" s="19" t="s">
        <v>666</v>
      </c>
      <c r="B13" s="19" t="s">
        <v>319</v>
      </c>
      <c r="C13" s="20">
        <v>1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1">
        <v>2</v>
      </c>
      <c r="J13" s="87"/>
      <c r="K13" s="87"/>
      <c r="L13" s="87"/>
      <c r="M13" s="87"/>
      <c r="N13" s="87"/>
      <c r="O13" s="87"/>
      <c r="P13" s="22">
        <v>1.22</v>
      </c>
      <c r="Q13" s="22">
        <v>0.99</v>
      </c>
      <c r="R13" s="22">
        <v>1.06</v>
      </c>
      <c r="S13" s="22">
        <v>1.1100000000000001</v>
      </c>
      <c r="T13" s="22">
        <v>1.1599999999999999</v>
      </c>
      <c r="U13" s="22">
        <v>1.17</v>
      </c>
      <c r="V13" s="23">
        <v>65</v>
      </c>
      <c r="W13" s="23">
        <v>40.5</v>
      </c>
      <c r="X13" s="24">
        <v>65</v>
      </c>
      <c r="Y13" s="24">
        <v>65</v>
      </c>
      <c r="Z13" s="24">
        <v>65</v>
      </c>
      <c r="AA13" s="24">
        <v>65</v>
      </c>
      <c r="AB13" s="24">
        <v>65</v>
      </c>
      <c r="AC13" s="24">
        <v>65</v>
      </c>
      <c r="AD13" s="25">
        <v>0.45</v>
      </c>
      <c r="AE13" s="25">
        <v>0.38</v>
      </c>
      <c r="AF13" s="25">
        <v>0.37</v>
      </c>
      <c r="AG13" s="25">
        <v>0.36</v>
      </c>
      <c r="AH13" s="25">
        <v>0.36</v>
      </c>
      <c r="AI13" s="25">
        <v>0.35</v>
      </c>
      <c r="AJ13" s="26">
        <v>0.3</v>
      </c>
      <c r="AK13" s="26">
        <v>0.25</v>
      </c>
      <c r="AL13" s="26">
        <v>0.24</v>
      </c>
      <c r="AM13" s="26">
        <v>0.24</v>
      </c>
      <c r="AN13" s="26">
        <v>0.23</v>
      </c>
      <c r="AO13" s="26">
        <v>0.23</v>
      </c>
      <c r="AP13" s="27">
        <v>35.76</v>
      </c>
      <c r="AQ13" s="27">
        <v>33.24</v>
      </c>
      <c r="AR13" s="27">
        <v>32.729999999999997</v>
      </c>
      <c r="AS13" s="27">
        <v>32.22</v>
      </c>
      <c r="AT13" s="27">
        <v>31.72</v>
      </c>
      <c r="AU13" s="27">
        <v>31.21</v>
      </c>
      <c r="AV13" s="28">
        <v>7874.1</v>
      </c>
      <c r="AW13" s="28">
        <v>8814</v>
      </c>
      <c r="AX13" s="28">
        <v>8817.9</v>
      </c>
      <c r="AY13" s="28">
        <v>8845.2000000000007</v>
      </c>
      <c r="AZ13" s="28">
        <v>8806.2000000000007</v>
      </c>
      <c r="BA13" s="28">
        <v>8880.2999999999993</v>
      </c>
      <c r="BB13" s="29">
        <v>12114</v>
      </c>
      <c r="BC13" s="29">
        <v>13560</v>
      </c>
      <c r="BD13" s="29">
        <v>13566</v>
      </c>
      <c r="BE13" s="29">
        <v>13608</v>
      </c>
      <c r="BF13" s="29">
        <v>13548</v>
      </c>
      <c r="BG13" s="29">
        <v>13662</v>
      </c>
      <c r="BH13" s="30">
        <v>30217</v>
      </c>
      <c r="BI13" s="30">
        <v>28512</v>
      </c>
      <c r="BJ13" s="30">
        <v>28512</v>
      </c>
      <c r="BK13" s="30">
        <v>28512</v>
      </c>
      <c r="BL13" s="30">
        <v>28512</v>
      </c>
      <c r="BM13" s="30">
        <v>28512</v>
      </c>
    </row>
    <row r="14" spans="1:73" ht="15.75" thickBot="1" x14ac:dyDescent="0.3">
      <c r="A14" s="19" t="s">
        <v>667</v>
      </c>
      <c r="B14" s="19" t="s">
        <v>320</v>
      </c>
      <c r="C14" s="20">
        <v>1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1">
        <v>2</v>
      </c>
      <c r="J14" s="87"/>
      <c r="K14" s="87"/>
      <c r="L14" s="87"/>
      <c r="M14" s="87"/>
      <c r="N14" s="87"/>
      <c r="O14" s="87"/>
      <c r="P14" s="22">
        <v>1.22</v>
      </c>
      <c r="Q14" s="22">
        <v>0.99</v>
      </c>
      <c r="R14" s="22">
        <v>1.06</v>
      </c>
      <c r="S14" s="22">
        <v>1.1100000000000001</v>
      </c>
      <c r="T14" s="22">
        <v>1.1599999999999999</v>
      </c>
      <c r="U14" s="22">
        <v>1.17</v>
      </c>
      <c r="V14" s="23">
        <v>65</v>
      </c>
      <c r="W14" s="23">
        <v>40.5</v>
      </c>
      <c r="X14" s="24">
        <v>65</v>
      </c>
      <c r="Y14" s="24">
        <v>65</v>
      </c>
      <c r="Z14" s="24">
        <v>65</v>
      </c>
      <c r="AA14" s="24">
        <v>65</v>
      </c>
      <c r="AB14" s="24">
        <v>65</v>
      </c>
      <c r="AC14" s="24">
        <v>65</v>
      </c>
      <c r="AD14" s="25">
        <v>4.99</v>
      </c>
      <c r="AE14" s="25">
        <v>3.13</v>
      </c>
      <c r="AF14" s="25">
        <v>3.08</v>
      </c>
      <c r="AG14" s="25">
        <v>3.02</v>
      </c>
      <c r="AH14" s="25">
        <v>2.99</v>
      </c>
      <c r="AI14" s="25">
        <v>2.92</v>
      </c>
      <c r="AJ14" s="26">
        <v>3.24</v>
      </c>
      <c r="AK14" s="26">
        <v>2.0299999999999998</v>
      </c>
      <c r="AL14" s="26">
        <v>2</v>
      </c>
      <c r="AM14" s="26">
        <v>1.96</v>
      </c>
      <c r="AN14" s="26">
        <v>1.94</v>
      </c>
      <c r="AO14" s="26">
        <v>1.9</v>
      </c>
      <c r="AP14" s="27">
        <v>392.79</v>
      </c>
      <c r="AQ14" s="27">
        <v>275.79000000000002</v>
      </c>
      <c r="AR14" s="27">
        <v>271.58999999999997</v>
      </c>
      <c r="AS14" s="27">
        <v>267.39</v>
      </c>
      <c r="AT14" s="27">
        <v>263.19</v>
      </c>
      <c r="AU14" s="27">
        <v>258.99</v>
      </c>
      <c r="AV14" s="28">
        <v>7874.1</v>
      </c>
      <c r="AW14" s="28">
        <v>8814</v>
      </c>
      <c r="AX14" s="28">
        <v>8817.9</v>
      </c>
      <c r="AY14" s="28">
        <v>8845.2000000000007</v>
      </c>
      <c r="AZ14" s="28">
        <v>8806.2000000000007</v>
      </c>
      <c r="BA14" s="28">
        <v>8880.2999999999993</v>
      </c>
      <c r="BB14" s="29">
        <v>12114</v>
      </c>
      <c r="BC14" s="29">
        <v>13560</v>
      </c>
      <c r="BD14" s="29">
        <v>13566</v>
      </c>
      <c r="BE14" s="29">
        <v>13608</v>
      </c>
      <c r="BF14" s="29">
        <v>13548</v>
      </c>
      <c r="BG14" s="29">
        <v>13662</v>
      </c>
      <c r="BH14" s="30">
        <v>373934</v>
      </c>
      <c r="BI14" s="30">
        <v>266549</v>
      </c>
      <c r="BJ14" s="30">
        <v>266549</v>
      </c>
      <c r="BK14" s="30">
        <v>266549</v>
      </c>
      <c r="BL14" s="30">
        <v>266549</v>
      </c>
      <c r="BM14" s="30">
        <v>266549</v>
      </c>
    </row>
    <row r="15" spans="1:73" ht="15.75" thickBot="1" x14ac:dyDescent="0.3">
      <c r="A15" s="19" t="s">
        <v>668</v>
      </c>
      <c r="B15" s="19" t="s">
        <v>347</v>
      </c>
      <c r="C15" s="20">
        <v>1</v>
      </c>
      <c r="D15" s="20">
        <v>1</v>
      </c>
      <c r="E15" s="20">
        <v>1</v>
      </c>
      <c r="F15" s="20">
        <v>1</v>
      </c>
      <c r="G15" s="20">
        <v>1</v>
      </c>
      <c r="H15" s="20">
        <v>1</v>
      </c>
      <c r="I15" s="21">
        <v>2</v>
      </c>
      <c r="J15" s="87"/>
      <c r="K15" s="87"/>
      <c r="L15" s="87"/>
      <c r="M15" s="87"/>
      <c r="N15" s="87"/>
      <c r="O15" s="87"/>
      <c r="P15" s="22">
        <v>1.22</v>
      </c>
      <c r="Q15" s="22">
        <v>0.99</v>
      </c>
      <c r="R15" s="22">
        <v>1.06</v>
      </c>
      <c r="S15" s="22">
        <v>1.1100000000000001</v>
      </c>
      <c r="T15" s="22">
        <v>1.1599999999999999</v>
      </c>
      <c r="U15" s="22">
        <v>1.17</v>
      </c>
      <c r="V15" s="23">
        <v>65</v>
      </c>
      <c r="W15" s="23">
        <v>40.5</v>
      </c>
      <c r="X15" s="24">
        <v>65</v>
      </c>
      <c r="Y15" s="24">
        <v>65</v>
      </c>
      <c r="Z15" s="24">
        <v>65</v>
      </c>
      <c r="AA15" s="24">
        <v>65</v>
      </c>
      <c r="AB15" s="24">
        <v>65</v>
      </c>
      <c r="AC15" s="24">
        <v>65</v>
      </c>
      <c r="AD15" s="25">
        <v>2.77</v>
      </c>
      <c r="AE15" s="25">
        <v>2.4300000000000002</v>
      </c>
      <c r="AF15" s="25">
        <v>2.4</v>
      </c>
      <c r="AG15" s="25">
        <v>2.35</v>
      </c>
      <c r="AH15" s="25">
        <v>2.3199999999999998</v>
      </c>
      <c r="AI15" s="25">
        <v>2.27</v>
      </c>
      <c r="AJ15" s="26">
        <v>1.8</v>
      </c>
      <c r="AK15" s="26">
        <v>1.58</v>
      </c>
      <c r="AL15" s="26">
        <v>1.56</v>
      </c>
      <c r="AM15" s="26">
        <v>1.53</v>
      </c>
      <c r="AN15" s="26">
        <v>1.51</v>
      </c>
      <c r="AO15" s="26">
        <v>1.47</v>
      </c>
      <c r="AP15" s="27">
        <v>218.2</v>
      </c>
      <c r="AQ15" s="27">
        <v>214.53</v>
      </c>
      <c r="AR15" s="27">
        <v>211.27</v>
      </c>
      <c r="AS15" s="27">
        <v>208</v>
      </c>
      <c r="AT15" s="27">
        <v>204.73</v>
      </c>
      <c r="AU15" s="27">
        <v>201.47</v>
      </c>
      <c r="AV15" s="28">
        <v>7874.1</v>
      </c>
      <c r="AW15" s="28">
        <v>8814</v>
      </c>
      <c r="AX15" s="28">
        <v>8817.9</v>
      </c>
      <c r="AY15" s="28">
        <v>8845.2000000000007</v>
      </c>
      <c r="AZ15" s="28">
        <v>8806.2000000000007</v>
      </c>
      <c r="BA15" s="28">
        <v>8880.2999999999993</v>
      </c>
      <c r="BB15" s="29">
        <v>12114</v>
      </c>
      <c r="BC15" s="29">
        <v>13560</v>
      </c>
      <c r="BD15" s="29">
        <v>13566</v>
      </c>
      <c r="BE15" s="29">
        <v>13608</v>
      </c>
      <c r="BF15" s="29">
        <v>13548</v>
      </c>
      <c r="BG15" s="29">
        <v>13662</v>
      </c>
      <c r="BH15" s="30">
        <v>157103</v>
      </c>
      <c r="BI15" s="30">
        <v>156818</v>
      </c>
      <c r="BJ15" s="30">
        <v>156818</v>
      </c>
      <c r="BK15" s="30">
        <v>156818</v>
      </c>
      <c r="BL15" s="30">
        <v>156818</v>
      </c>
      <c r="BM15" s="30">
        <v>156818</v>
      </c>
    </row>
    <row r="16" spans="1:73" ht="15.75" thickBot="1" x14ac:dyDescent="0.3">
      <c r="A16" s="19" t="s">
        <v>669</v>
      </c>
      <c r="B16" s="19" t="s">
        <v>349</v>
      </c>
      <c r="C16" s="20">
        <v>1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1">
        <v>2</v>
      </c>
      <c r="J16" s="87"/>
      <c r="K16" s="87"/>
      <c r="L16" s="87"/>
      <c r="M16" s="87"/>
      <c r="N16" s="87"/>
      <c r="O16" s="87"/>
      <c r="P16" s="22">
        <v>1.22</v>
      </c>
      <c r="Q16" s="22">
        <v>0.99</v>
      </c>
      <c r="R16" s="22">
        <v>1.06</v>
      </c>
      <c r="S16" s="22">
        <v>1.1100000000000001</v>
      </c>
      <c r="T16" s="22">
        <v>1.1599999999999999</v>
      </c>
      <c r="U16" s="22">
        <v>1.17</v>
      </c>
      <c r="V16" s="23">
        <v>65</v>
      </c>
      <c r="W16" s="23">
        <v>40.5</v>
      </c>
      <c r="X16" s="24">
        <v>65</v>
      </c>
      <c r="Y16" s="24">
        <v>65</v>
      </c>
      <c r="Z16" s="24">
        <v>65</v>
      </c>
      <c r="AA16" s="24">
        <v>65</v>
      </c>
      <c r="AB16" s="24">
        <v>65</v>
      </c>
      <c r="AC16" s="24">
        <v>65</v>
      </c>
      <c r="AD16" s="25">
        <v>2.67</v>
      </c>
      <c r="AE16" s="25">
        <v>2.2400000000000002</v>
      </c>
      <c r="AF16" s="25">
        <v>2.2000000000000002</v>
      </c>
      <c r="AG16" s="25">
        <v>2.16</v>
      </c>
      <c r="AH16" s="25">
        <v>2.14</v>
      </c>
      <c r="AI16" s="25">
        <v>2.08</v>
      </c>
      <c r="AJ16" s="26">
        <v>1.73</v>
      </c>
      <c r="AK16" s="26">
        <v>1.45</v>
      </c>
      <c r="AL16" s="26">
        <v>1.43</v>
      </c>
      <c r="AM16" s="26">
        <v>1.4</v>
      </c>
      <c r="AN16" s="26">
        <v>1.39</v>
      </c>
      <c r="AO16" s="26">
        <v>1.36</v>
      </c>
      <c r="AP16" s="27">
        <v>210.11</v>
      </c>
      <c r="AQ16" s="27">
        <v>197.14</v>
      </c>
      <c r="AR16" s="27">
        <v>194.14</v>
      </c>
      <c r="AS16" s="27">
        <v>191.13</v>
      </c>
      <c r="AT16" s="27">
        <v>188.13</v>
      </c>
      <c r="AU16" s="27">
        <v>185.13</v>
      </c>
      <c r="AV16" s="28">
        <v>7874.1</v>
      </c>
      <c r="AW16" s="28">
        <v>8814</v>
      </c>
      <c r="AX16" s="28">
        <v>8817.9</v>
      </c>
      <c r="AY16" s="28">
        <v>8845.2000000000007</v>
      </c>
      <c r="AZ16" s="28">
        <v>8806.2000000000007</v>
      </c>
      <c r="BA16" s="28">
        <v>8880.2999999999993</v>
      </c>
      <c r="BB16" s="29">
        <v>12114</v>
      </c>
      <c r="BC16" s="29">
        <v>13560</v>
      </c>
      <c r="BD16" s="29">
        <v>13566</v>
      </c>
      <c r="BE16" s="29">
        <v>13608</v>
      </c>
      <c r="BF16" s="29">
        <v>13548</v>
      </c>
      <c r="BG16" s="29">
        <v>13662</v>
      </c>
      <c r="BH16" s="30">
        <v>151283</v>
      </c>
      <c r="BI16" s="30">
        <v>144102</v>
      </c>
      <c r="BJ16" s="30">
        <v>144102</v>
      </c>
      <c r="BK16" s="30">
        <v>144102</v>
      </c>
      <c r="BL16" s="30">
        <v>144102</v>
      </c>
      <c r="BM16" s="30">
        <v>144102</v>
      </c>
    </row>
    <row r="17" spans="1:65" ht="15.75" thickBot="1" x14ac:dyDescent="0.3">
      <c r="A17" s="19" t="s">
        <v>670</v>
      </c>
      <c r="B17" s="19" t="s">
        <v>351</v>
      </c>
      <c r="C17" s="20">
        <v>1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1">
        <v>2</v>
      </c>
      <c r="J17" s="87"/>
      <c r="K17" s="87"/>
      <c r="L17" s="87"/>
      <c r="M17" s="87"/>
      <c r="N17" s="87"/>
      <c r="O17" s="87"/>
      <c r="P17" s="22">
        <v>1.22</v>
      </c>
      <c r="Q17" s="22">
        <v>0.99</v>
      </c>
      <c r="R17" s="22">
        <v>1.06</v>
      </c>
      <c r="S17" s="22">
        <v>1.1100000000000001</v>
      </c>
      <c r="T17" s="22">
        <v>1.1599999999999999</v>
      </c>
      <c r="U17" s="22">
        <v>1.17</v>
      </c>
      <c r="V17" s="23">
        <v>65</v>
      </c>
      <c r="W17" s="23">
        <v>40.5</v>
      </c>
      <c r="X17" s="24">
        <v>65</v>
      </c>
      <c r="Y17" s="24">
        <v>65</v>
      </c>
      <c r="Z17" s="24">
        <v>65</v>
      </c>
      <c r="AA17" s="24">
        <v>65</v>
      </c>
      <c r="AB17" s="24">
        <v>65</v>
      </c>
      <c r="AC17" s="24">
        <v>65</v>
      </c>
      <c r="AD17" s="25">
        <v>1.54</v>
      </c>
      <c r="AE17" s="25">
        <v>0.43</v>
      </c>
      <c r="AF17" s="25">
        <v>0.42</v>
      </c>
      <c r="AG17" s="25">
        <v>0.42</v>
      </c>
      <c r="AH17" s="25">
        <v>0.41</v>
      </c>
      <c r="AI17" s="25">
        <v>0.4</v>
      </c>
      <c r="AJ17" s="26">
        <v>1</v>
      </c>
      <c r="AK17" s="26">
        <v>0.28000000000000003</v>
      </c>
      <c r="AL17" s="26">
        <v>0.28000000000000003</v>
      </c>
      <c r="AM17" s="26">
        <v>0.27</v>
      </c>
      <c r="AN17" s="26">
        <v>0.27</v>
      </c>
      <c r="AO17" s="26">
        <v>0.26</v>
      </c>
      <c r="AP17" s="27">
        <v>121.23</v>
      </c>
      <c r="AQ17" s="27">
        <v>37.9</v>
      </c>
      <c r="AR17" s="27">
        <v>37.32</v>
      </c>
      <c r="AS17" s="27">
        <v>36.74</v>
      </c>
      <c r="AT17" s="27">
        <v>36.17</v>
      </c>
      <c r="AU17" s="27">
        <v>35.590000000000003</v>
      </c>
      <c r="AV17" s="28">
        <v>7874.1</v>
      </c>
      <c r="AW17" s="28">
        <v>8814</v>
      </c>
      <c r="AX17" s="28">
        <v>8817.9</v>
      </c>
      <c r="AY17" s="28">
        <v>8845.2000000000007</v>
      </c>
      <c r="AZ17" s="28">
        <v>8806.2000000000007</v>
      </c>
      <c r="BA17" s="28">
        <v>8880.2999999999993</v>
      </c>
      <c r="BB17" s="29">
        <v>12114</v>
      </c>
      <c r="BC17" s="29">
        <v>13560</v>
      </c>
      <c r="BD17" s="29">
        <v>13566</v>
      </c>
      <c r="BE17" s="29">
        <v>13608</v>
      </c>
      <c r="BF17" s="29">
        <v>13548</v>
      </c>
      <c r="BG17" s="29">
        <v>13662</v>
      </c>
      <c r="BH17" s="30">
        <v>87287</v>
      </c>
      <c r="BI17" s="30">
        <v>27701</v>
      </c>
      <c r="BJ17" s="30">
        <v>27701</v>
      </c>
      <c r="BK17" s="30">
        <v>27701</v>
      </c>
      <c r="BL17" s="30">
        <v>27701</v>
      </c>
      <c r="BM17" s="30">
        <v>27701</v>
      </c>
    </row>
    <row r="18" spans="1:65" ht="15.75" thickBot="1" x14ac:dyDescent="0.3">
      <c r="A18" s="19" t="s">
        <v>671</v>
      </c>
      <c r="B18" s="19" t="s">
        <v>353</v>
      </c>
      <c r="C18" s="20">
        <v>1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1">
        <v>2</v>
      </c>
      <c r="J18" s="87"/>
      <c r="K18" s="87"/>
      <c r="L18" s="87"/>
      <c r="M18" s="87"/>
      <c r="N18" s="87"/>
      <c r="O18" s="87"/>
      <c r="P18" s="22">
        <v>1.22</v>
      </c>
      <c r="Q18" s="22">
        <v>0.99</v>
      </c>
      <c r="R18" s="22">
        <v>1.06</v>
      </c>
      <c r="S18" s="22">
        <v>1.1100000000000001</v>
      </c>
      <c r="T18" s="22">
        <v>1.1599999999999999</v>
      </c>
      <c r="U18" s="22">
        <v>1.17</v>
      </c>
      <c r="V18" s="23">
        <v>65</v>
      </c>
      <c r="W18" s="23">
        <v>40.5</v>
      </c>
      <c r="X18" s="24">
        <v>65</v>
      </c>
      <c r="Y18" s="24">
        <v>65</v>
      </c>
      <c r="Z18" s="24">
        <v>65</v>
      </c>
      <c r="AA18" s="24">
        <v>65</v>
      </c>
      <c r="AB18" s="24">
        <v>65</v>
      </c>
      <c r="AC18" s="24">
        <v>65</v>
      </c>
      <c r="AD18" s="25">
        <v>0.18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6">
        <v>0.12</v>
      </c>
      <c r="AK18" s="26">
        <v>0</v>
      </c>
      <c r="AL18" s="26">
        <v>0</v>
      </c>
      <c r="AM18" s="26">
        <v>0</v>
      </c>
      <c r="AN18" s="26">
        <v>0</v>
      </c>
      <c r="AO18" s="26">
        <v>0</v>
      </c>
      <c r="AP18" s="27">
        <v>14.38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8">
        <v>7874.1</v>
      </c>
      <c r="AW18" s="28">
        <v>8814</v>
      </c>
      <c r="AX18" s="28">
        <v>8817.9</v>
      </c>
      <c r="AY18" s="28">
        <v>8845.2000000000007</v>
      </c>
      <c r="AZ18" s="28">
        <v>8806.2000000000007</v>
      </c>
      <c r="BA18" s="28">
        <v>8880.2999999999993</v>
      </c>
      <c r="BB18" s="29">
        <v>12114</v>
      </c>
      <c r="BC18" s="29">
        <v>13560</v>
      </c>
      <c r="BD18" s="29">
        <v>13566</v>
      </c>
      <c r="BE18" s="29">
        <v>13608</v>
      </c>
      <c r="BF18" s="29">
        <v>13548</v>
      </c>
      <c r="BG18" s="29">
        <v>13662</v>
      </c>
      <c r="BH18" s="30">
        <v>11216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</row>
    <row r="19" spans="1:65" ht="15.75" thickBot="1" x14ac:dyDescent="0.3">
      <c r="A19" s="19" t="s">
        <v>672</v>
      </c>
      <c r="B19" s="19" t="s">
        <v>321</v>
      </c>
      <c r="C19" s="20">
        <v>1</v>
      </c>
      <c r="D19" s="20">
        <v>1</v>
      </c>
      <c r="E19" s="20">
        <v>1</v>
      </c>
      <c r="F19" s="20">
        <v>1</v>
      </c>
      <c r="G19" s="20">
        <v>1</v>
      </c>
      <c r="H19" s="20">
        <v>1</v>
      </c>
      <c r="I19" s="21">
        <v>2</v>
      </c>
      <c r="J19" s="87"/>
      <c r="K19" s="87"/>
      <c r="L19" s="87"/>
      <c r="M19" s="87"/>
      <c r="N19" s="87"/>
      <c r="O19" s="87"/>
      <c r="P19" s="22">
        <v>1.22</v>
      </c>
      <c r="Q19" s="22">
        <v>0.99</v>
      </c>
      <c r="R19" s="22">
        <v>1.06</v>
      </c>
      <c r="S19" s="22">
        <v>1.1100000000000001</v>
      </c>
      <c r="T19" s="22">
        <v>1.1599999999999999</v>
      </c>
      <c r="U19" s="22">
        <v>1.17</v>
      </c>
      <c r="V19" s="23">
        <v>65</v>
      </c>
      <c r="W19" s="23">
        <v>40.5</v>
      </c>
      <c r="X19" s="24">
        <v>65</v>
      </c>
      <c r="Y19" s="24">
        <v>65</v>
      </c>
      <c r="Z19" s="24">
        <v>65</v>
      </c>
      <c r="AA19" s="24">
        <v>65</v>
      </c>
      <c r="AB19" s="24">
        <v>65</v>
      </c>
      <c r="AC19" s="24">
        <v>65</v>
      </c>
      <c r="AD19" s="25">
        <v>3.55</v>
      </c>
      <c r="AE19" s="25">
        <v>2.4</v>
      </c>
      <c r="AF19" s="25">
        <v>2.36</v>
      </c>
      <c r="AG19" s="25">
        <v>2.3199999999999998</v>
      </c>
      <c r="AH19" s="25">
        <v>2.29</v>
      </c>
      <c r="AI19" s="25">
        <v>2.2400000000000002</v>
      </c>
      <c r="AJ19" s="26">
        <v>2.31</v>
      </c>
      <c r="AK19" s="26">
        <v>1.56</v>
      </c>
      <c r="AL19" s="26">
        <v>1.54</v>
      </c>
      <c r="AM19" s="26">
        <v>1.51</v>
      </c>
      <c r="AN19" s="26">
        <v>1.49</v>
      </c>
      <c r="AO19" s="26">
        <v>1.45</v>
      </c>
      <c r="AP19" s="27">
        <v>279.64</v>
      </c>
      <c r="AQ19" s="27">
        <v>211.46</v>
      </c>
      <c r="AR19" s="27">
        <v>208.24</v>
      </c>
      <c r="AS19" s="27">
        <v>205.02</v>
      </c>
      <c r="AT19" s="27">
        <v>201.8</v>
      </c>
      <c r="AU19" s="27">
        <v>198.58</v>
      </c>
      <c r="AV19" s="28">
        <v>7874.1</v>
      </c>
      <c r="AW19" s="28">
        <v>8814</v>
      </c>
      <c r="AX19" s="28">
        <v>8817.9</v>
      </c>
      <c r="AY19" s="28">
        <v>8845.2000000000007</v>
      </c>
      <c r="AZ19" s="28">
        <v>8806.2000000000007</v>
      </c>
      <c r="BA19" s="28">
        <v>8880.2999999999993</v>
      </c>
      <c r="BB19" s="29">
        <v>12114</v>
      </c>
      <c r="BC19" s="29">
        <v>13560</v>
      </c>
      <c r="BD19" s="29">
        <v>13566</v>
      </c>
      <c r="BE19" s="29">
        <v>13608</v>
      </c>
      <c r="BF19" s="29">
        <v>13548</v>
      </c>
      <c r="BG19" s="29">
        <v>13662</v>
      </c>
      <c r="BH19" s="30">
        <v>268452</v>
      </c>
      <c r="BI19" s="30">
        <v>206090</v>
      </c>
      <c r="BJ19" s="30">
        <v>206090</v>
      </c>
      <c r="BK19" s="30">
        <v>206090</v>
      </c>
      <c r="BL19" s="30">
        <v>206090</v>
      </c>
      <c r="BM19" s="30">
        <v>206090</v>
      </c>
    </row>
    <row r="20" spans="1:65" ht="15.75" thickBot="1" x14ac:dyDescent="0.3">
      <c r="A20" s="19" t="s">
        <v>673</v>
      </c>
      <c r="B20" s="19" t="s">
        <v>335</v>
      </c>
      <c r="C20" s="20">
        <v>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1">
        <v>2</v>
      </c>
      <c r="J20" s="87"/>
      <c r="K20" s="87"/>
      <c r="L20" s="87"/>
      <c r="M20" s="87"/>
      <c r="N20" s="87"/>
      <c r="O20" s="87"/>
      <c r="P20" s="22">
        <v>1.22</v>
      </c>
      <c r="Q20" s="22">
        <v>0.99</v>
      </c>
      <c r="R20" s="22">
        <v>1.06</v>
      </c>
      <c r="S20" s="22">
        <v>1.1100000000000001</v>
      </c>
      <c r="T20" s="22">
        <v>1.1599999999999999</v>
      </c>
      <c r="U20" s="22">
        <v>1.17</v>
      </c>
      <c r="V20" s="23">
        <v>65</v>
      </c>
      <c r="W20" s="23">
        <v>40.5</v>
      </c>
      <c r="X20" s="24">
        <v>65</v>
      </c>
      <c r="Y20" s="24">
        <v>65</v>
      </c>
      <c r="Z20" s="24">
        <v>65</v>
      </c>
      <c r="AA20" s="24">
        <v>65</v>
      </c>
      <c r="AB20" s="24">
        <v>65</v>
      </c>
      <c r="AC20" s="24">
        <v>65</v>
      </c>
      <c r="AD20" s="25">
        <v>3.55</v>
      </c>
      <c r="AE20" s="25">
        <v>2.61</v>
      </c>
      <c r="AF20" s="25">
        <v>2.57</v>
      </c>
      <c r="AG20" s="25">
        <v>2.52</v>
      </c>
      <c r="AH20" s="25">
        <v>2.4900000000000002</v>
      </c>
      <c r="AI20" s="25">
        <v>2.4300000000000002</v>
      </c>
      <c r="AJ20" s="26">
        <v>2.31</v>
      </c>
      <c r="AK20" s="26">
        <v>1.69</v>
      </c>
      <c r="AL20" s="26">
        <v>1.67</v>
      </c>
      <c r="AM20" s="26">
        <v>1.64</v>
      </c>
      <c r="AN20" s="26">
        <v>1.62</v>
      </c>
      <c r="AO20" s="26">
        <v>1.58</v>
      </c>
      <c r="AP20" s="27">
        <v>279.64</v>
      </c>
      <c r="AQ20" s="27">
        <v>229.83</v>
      </c>
      <c r="AR20" s="27">
        <v>226.33</v>
      </c>
      <c r="AS20" s="27">
        <v>222.83</v>
      </c>
      <c r="AT20" s="27">
        <v>219.33</v>
      </c>
      <c r="AU20" s="27">
        <v>215.83</v>
      </c>
      <c r="AV20" s="28">
        <v>7874.1</v>
      </c>
      <c r="AW20" s="28">
        <v>8814</v>
      </c>
      <c r="AX20" s="28">
        <v>8817.9</v>
      </c>
      <c r="AY20" s="28">
        <v>8845.2000000000007</v>
      </c>
      <c r="AZ20" s="28">
        <v>8806.2000000000007</v>
      </c>
      <c r="BA20" s="28">
        <v>8880.2999999999993</v>
      </c>
      <c r="BB20" s="29">
        <v>12114</v>
      </c>
      <c r="BC20" s="29">
        <v>13560</v>
      </c>
      <c r="BD20" s="29">
        <v>13566</v>
      </c>
      <c r="BE20" s="29">
        <v>13608</v>
      </c>
      <c r="BF20" s="29">
        <v>13548</v>
      </c>
      <c r="BG20" s="29">
        <v>13662</v>
      </c>
      <c r="BH20" s="30">
        <v>268452</v>
      </c>
      <c r="BI20" s="30">
        <v>224001</v>
      </c>
      <c r="BJ20" s="30">
        <v>224001</v>
      </c>
      <c r="BK20" s="30">
        <v>224001</v>
      </c>
      <c r="BL20" s="30">
        <v>224001</v>
      </c>
      <c r="BM20" s="30">
        <v>224001</v>
      </c>
    </row>
    <row r="21" spans="1:65" ht="15.75" thickBot="1" x14ac:dyDescent="0.3">
      <c r="A21" s="19" t="s">
        <v>674</v>
      </c>
      <c r="B21" s="19" t="s">
        <v>357</v>
      </c>
      <c r="C21" s="20">
        <v>1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1">
        <v>2</v>
      </c>
      <c r="J21" s="87"/>
      <c r="K21" s="87"/>
      <c r="L21" s="87"/>
      <c r="M21" s="87"/>
      <c r="N21" s="87"/>
      <c r="O21" s="87"/>
      <c r="P21" s="22">
        <v>1.22</v>
      </c>
      <c r="Q21" s="22">
        <v>0.99</v>
      </c>
      <c r="R21" s="22">
        <v>1.06</v>
      </c>
      <c r="S21" s="22">
        <v>1.1100000000000001</v>
      </c>
      <c r="T21" s="22">
        <v>1.1599999999999999</v>
      </c>
      <c r="U21" s="22">
        <v>1.17</v>
      </c>
      <c r="V21" s="23">
        <v>65</v>
      </c>
      <c r="W21" s="23">
        <v>40.5</v>
      </c>
      <c r="X21" s="24">
        <v>65</v>
      </c>
      <c r="Y21" s="24">
        <v>65</v>
      </c>
      <c r="Z21" s="24">
        <v>65</v>
      </c>
      <c r="AA21" s="24">
        <v>65</v>
      </c>
      <c r="AB21" s="24">
        <v>65</v>
      </c>
      <c r="AC21" s="24">
        <v>65</v>
      </c>
      <c r="AD21" s="25">
        <v>0</v>
      </c>
      <c r="AE21" s="25">
        <v>0.28999999999999998</v>
      </c>
      <c r="AF21" s="25">
        <v>0.28999999999999998</v>
      </c>
      <c r="AG21" s="25">
        <v>0.28000000000000003</v>
      </c>
      <c r="AH21" s="25">
        <v>0.28000000000000003</v>
      </c>
      <c r="AI21" s="25">
        <v>0.27</v>
      </c>
      <c r="AJ21" s="26">
        <v>0</v>
      </c>
      <c r="AK21" s="26">
        <v>0.19</v>
      </c>
      <c r="AL21" s="26">
        <v>0.19</v>
      </c>
      <c r="AM21" s="26">
        <v>0.18</v>
      </c>
      <c r="AN21" s="26">
        <v>0.18</v>
      </c>
      <c r="AO21" s="26">
        <v>0.18</v>
      </c>
      <c r="AP21" s="27">
        <v>0</v>
      </c>
      <c r="AQ21" s="27">
        <v>25.88</v>
      </c>
      <c r="AR21" s="27">
        <v>25.48</v>
      </c>
      <c r="AS21" s="27">
        <v>25.09</v>
      </c>
      <c r="AT21" s="27">
        <v>24.69</v>
      </c>
      <c r="AU21" s="27">
        <v>24.3</v>
      </c>
      <c r="AV21" s="28">
        <v>7874.1</v>
      </c>
      <c r="AW21" s="28">
        <v>8814</v>
      </c>
      <c r="AX21" s="28">
        <v>8817.9</v>
      </c>
      <c r="AY21" s="28">
        <v>8845.2000000000007</v>
      </c>
      <c r="AZ21" s="28">
        <v>8806.2000000000007</v>
      </c>
      <c r="BA21" s="28">
        <v>8880.2999999999993</v>
      </c>
      <c r="BB21" s="29">
        <v>12114</v>
      </c>
      <c r="BC21" s="29">
        <v>13560</v>
      </c>
      <c r="BD21" s="29">
        <v>13566</v>
      </c>
      <c r="BE21" s="29">
        <v>13608</v>
      </c>
      <c r="BF21" s="29">
        <v>13548</v>
      </c>
      <c r="BG21" s="29">
        <v>13662</v>
      </c>
      <c r="BH21" s="30">
        <v>0</v>
      </c>
      <c r="BI21" s="30">
        <v>22067</v>
      </c>
      <c r="BJ21" s="30">
        <v>22067</v>
      </c>
      <c r="BK21" s="30">
        <v>22067</v>
      </c>
      <c r="BL21" s="30">
        <v>22067</v>
      </c>
      <c r="BM21" s="30">
        <v>22067</v>
      </c>
    </row>
    <row r="22" spans="1:65" ht="15.75" thickBot="1" x14ac:dyDescent="0.3">
      <c r="A22" s="19" t="s">
        <v>675</v>
      </c>
      <c r="B22" s="19" t="s">
        <v>322</v>
      </c>
      <c r="C22" s="20">
        <v>1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1">
        <v>2</v>
      </c>
      <c r="J22" s="87"/>
      <c r="K22" s="87"/>
      <c r="L22" s="87"/>
      <c r="M22" s="87"/>
      <c r="N22" s="87"/>
      <c r="O22" s="87"/>
      <c r="P22" s="22">
        <v>1.22</v>
      </c>
      <c r="Q22" s="22">
        <v>0.99</v>
      </c>
      <c r="R22" s="22">
        <v>1.06</v>
      </c>
      <c r="S22" s="22">
        <v>1.1100000000000001</v>
      </c>
      <c r="T22" s="22">
        <v>1.1599999999999999</v>
      </c>
      <c r="U22" s="22">
        <v>1.17</v>
      </c>
      <c r="V22" s="23">
        <v>65</v>
      </c>
      <c r="W22" s="23">
        <v>40.5</v>
      </c>
      <c r="X22" s="24">
        <v>65</v>
      </c>
      <c r="Y22" s="24">
        <v>65</v>
      </c>
      <c r="Z22" s="24">
        <v>65</v>
      </c>
      <c r="AA22" s="24">
        <v>65</v>
      </c>
      <c r="AB22" s="24">
        <v>65</v>
      </c>
      <c r="AC22" s="24">
        <v>65</v>
      </c>
      <c r="AD22" s="25">
        <v>0.64</v>
      </c>
      <c r="AE22" s="25">
        <v>0.69</v>
      </c>
      <c r="AF22" s="25">
        <v>0.27</v>
      </c>
      <c r="AG22" s="25">
        <v>0.14000000000000001</v>
      </c>
      <c r="AH22" s="25">
        <v>0.05</v>
      </c>
      <c r="AI22" s="25">
        <v>0.05</v>
      </c>
      <c r="AJ22" s="26">
        <v>0.42</v>
      </c>
      <c r="AK22" s="26">
        <v>0.45</v>
      </c>
      <c r="AL22" s="26">
        <v>0.17</v>
      </c>
      <c r="AM22" s="26">
        <v>0.09</v>
      </c>
      <c r="AN22" s="26">
        <v>0.03</v>
      </c>
      <c r="AO22" s="26">
        <v>0.03</v>
      </c>
      <c r="AP22" s="27">
        <v>50.43</v>
      </c>
      <c r="AQ22" s="27">
        <v>61.24</v>
      </c>
      <c r="AR22" s="27">
        <v>23.7</v>
      </c>
      <c r="AS22" s="27">
        <v>12.79</v>
      </c>
      <c r="AT22" s="27">
        <v>4.0999999999999996</v>
      </c>
      <c r="AU22" s="27">
        <v>4.03</v>
      </c>
      <c r="AV22" s="28">
        <v>7874.1</v>
      </c>
      <c r="AW22" s="28">
        <v>8814</v>
      </c>
      <c r="AX22" s="28">
        <v>8817.9</v>
      </c>
      <c r="AY22" s="28">
        <v>8845.2000000000007</v>
      </c>
      <c r="AZ22" s="28">
        <v>8806.2000000000007</v>
      </c>
      <c r="BA22" s="28">
        <v>8880.2999999999993</v>
      </c>
      <c r="BB22" s="29">
        <v>12114</v>
      </c>
      <c r="BC22" s="29">
        <v>13560</v>
      </c>
      <c r="BD22" s="29">
        <v>13566</v>
      </c>
      <c r="BE22" s="29">
        <v>13608</v>
      </c>
      <c r="BF22" s="29">
        <v>13548</v>
      </c>
      <c r="BG22" s="29">
        <v>13662</v>
      </c>
      <c r="BH22" s="30">
        <v>39336</v>
      </c>
      <c r="BI22" s="30">
        <v>48495</v>
      </c>
      <c r="BJ22" s="30">
        <v>19054</v>
      </c>
      <c r="BK22" s="30">
        <v>10446</v>
      </c>
      <c r="BL22" s="30">
        <v>3399</v>
      </c>
      <c r="BM22" s="30">
        <v>3399</v>
      </c>
    </row>
    <row r="23" spans="1:65" ht="15.75" thickBot="1" x14ac:dyDescent="0.3">
      <c r="A23" s="19" t="s">
        <v>676</v>
      </c>
      <c r="B23" s="19" t="s">
        <v>323</v>
      </c>
      <c r="C23" s="20">
        <v>1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1">
        <v>2</v>
      </c>
      <c r="J23" s="87"/>
      <c r="K23" s="87"/>
      <c r="L23" s="87"/>
      <c r="M23" s="87"/>
      <c r="N23" s="87"/>
      <c r="O23" s="87"/>
      <c r="P23" s="22">
        <v>1.22</v>
      </c>
      <c r="Q23" s="22">
        <v>0.99</v>
      </c>
      <c r="R23" s="22">
        <v>1.06</v>
      </c>
      <c r="S23" s="22">
        <v>1.1100000000000001</v>
      </c>
      <c r="T23" s="22">
        <v>1.1599999999999999</v>
      </c>
      <c r="U23" s="22">
        <v>1.17</v>
      </c>
      <c r="V23" s="23">
        <v>65</v>
      </c>
      <c r="W23" s="23">
        <v>40.5</v>
      </c>
      <c r="X23" s="24">
        <v>65</v>
      </c>
      <c r="Y23" s="24">
        <v>65</v>
      </c>
      <c r="Z23" s="24">
        <v>65</v>
      </c>
      <c r="AA23" s="24">
        <v>65</v>
      </c>
      <c r="AB23" s="24">
        <v>65</v>
      </c>
      <c r="AC23" s="24">
        <v>65</v>
      </c>
      <c r="AD23" s="25">
        <v>2.27</v>
      </c>
      <c r="AE23" s="25">
        <v>2.4700000000000002</v>
      </c>
      <c r="AF23" s="25">
        <v>2.4300000000000002</v>
      </c>
      <c r="AG23" s="25">
        <v>2.38</v>
      </c>
      <c r="AH23" s="25">
        <v>2.36</v>
      </c>
      <c r="AI23" s="25">
        <v>2.2999999999999998</v>
      </c>
      <c r="AJ23" s="26">
        <v>1.48</v>
      </c>
      <c r="AK23" s="26">
        <v>1.6</v>
      </c>
      <c r="AL23" s="26">
        <v>1.58</v>
      </c>
      <c r="AM23" s="26">
        <v>1.55</v>
      </c>
      <c r="AN23" s="26">
        <v>1.53</v>
      </c>
      <c r="AO23" s="26">
        <v>1.49</v>
      </c>
      <c r="AP23" s="27">
        <v>178.98</v>
      </c>
      <c r="AQ23" s="27">
        <v>217.43</v>
      </c>
      <c r="AR23" s="27">
        <v>214.12</v>
      </c>
      <c r="AS23" s="27">
        <v>210.81</v>
      </c>
      <c r="AT23" s="27">
        <v>207.5</v>
      </c>
      <c r="AU23" s="27">
        <v>204.19</v>
      </c>
      <c r="AV23" s="28">
        <v>7874.1</v>
      </c>
      <c r="AW23" s="28">
        <v>8814</v>
      </c>
      <c r="AX23" s="28">
        <v>8817.9</v>
      </c>
      <c r="AY23" s="28">
        <v>8845.2000000000007</v>
      </c>
      <c r="AZ23" s="28">
        <v>8806.2000000000007</v>
      </c>
      <c r="BA23" s="28">
        <v>8880.2999999999993</v>
      </c>
      <c r="BB23" s="29">
        <v>12114</v>
      </c>
      <c r="BC23" s="29">
        <v>13560</v>
      </c>
      <c r="BD23" s="29">
        <v>13566</v>
      </c>
      <c r="BE23" s="29">
        <v>13608</v>
      </c>
      <c r="BF23" s="29">
        <v>13548</v>
      </c>
      <c r="BG23" s="29">
        <v>13662</v>
      </c>
      <c r="BH23" s="30">
        <v>128864</v>
      </c>
      <c r="BI23" s="30">
        <v>158936</v>
      </c>
      <c r="BJ23" s="30">
        <v>158936</v>
      </c>
      <c r="BK23" s="30">
        <v>158936</v>
      </c>
      <c r="BL23" s="30">
        <v>158936</v>
      </c>
      <c r="BM23" s="30">
        <v>158936</v>
      </c>
    </row>
    <row r="24" spans="1:65" ht="15.75" thickBot="1" x14ac:dyDescent="0.3">
      <c r="A24" s="19" t="s">
        <v>677</v>
      </c>
      <c r="B24" s="19" t="s">
        <v>324</v>
      </c>
      <c r="C24" s="20">
        <v>1</v>
      </c>
      <c r="D24" s="20">
        <v>1</v>
      </c>
      <c r="E24" s="20">
        <v>1</v>
      </c>
      <c r="F24" s="20">
        <v>1</v>
      </c>
      <c r="G24" s="20">
        <v>1</v>
      </c>
      <c r="H24" s="20">
        <v>1</v>
      </c>
      <c r="I24" s="21">
        <v>2</v>
      </c>
      <c r="J24" s="87"/>
      <c r="K24" s="87"/>
      <c r="L24" s="87"/>
      <c r="M24" s="87"/>
      <c r="N24" s="87"/>
      <c r="O24" s="87"/>
      <c r="P24" s="22">
        <v>1.22</v>
      </c>
      <c r="Q24" s="22">
        <v>0.99</v>
      </c>
      <c r="R24" s="22">
        <v>1.06</v>
      </c>
      <c r="S24" s="22">
        <v>1.1100000000000001</v>
      </c>
      <c r="T24" s="22">
        <v>1.1599999999999999</v>
      </c>
      <c r="U24" s="22">
        <v>1.17</v>
      </c>
      <c r="V24" s="23">
        <v>65</v>
      </c>
      <c r="W24" s="23">
        <v>40.5</v>
      </c>
      <c r="X24" s="24">
        <v>65</v>
      </c>
      <c r="Y24" s="24">
        <v>65</v>
      </c>
      <c r="Z24" s="24">
        <v>65</v>
      </c>
      <c r="AA24" s="24">
        <v>65</v>
      </c>
      <c r="AB24" s="24">
        <v>65</v>
      </c>
      <c r="AC24" s="24">
        <v>65</v>
      </c>
      <c r="AD24" s="25">
        <v>2.27</v>
      </c>
      <c r="AE24" s="25">
        <v>2.5</v>
      </c>
      <c r="AF24" s="25">
        <v>2.46</v>
      </c>
      <c r="AG24" s="25">
        <v>2.41</v>
      </c>
      <c r="AH24" s="25">
        <v>2.39</v>
      </c>
      <c r="AI24" s="25">
        <v>2.33</v>
      </c>
      <c r="AJ24" s="26">
        <v>1.48</v>
      </c>
      <c r="AK24" s="26">
        <v>1.62</v>
      </c>
      <c r="AL24" s="26">
        <v>1.6</v>
      </c>
      <c r="AM24" s="26">
        <v>1.57</v>
      </c>
      <c r="AN24" s="26">
        <v>1.55</v>
      </c>
      <c r="AO24" s="26">
        <v>1.51</v>
      </c>
      <c r="AP24" s="27">
        <v>178.78</v>
      </c>
      <c r="AQ24" s="27">
        <v>220.1</v>
      </c>
      <c r="AR24" s="27">
        <v>216.75</v>
      </c>
      <c r="AS24" s="27">
        <v>213.4</v>
      </c>
      <c r="AT24" s="27">
        <v>210.05</v>
      </c>
      <c r="AU24" s="27">
        <v>206.7</v>
      </c>
      <c r="AV24" s="28">
        <v>7874.1</v>
      </c>
      <c r="AW24" s="28">
        <v>8814</v>
      </c>
      <c r="AX24" s="28">
        <v>8817.9</v>
      </c>
      <c r="AY24" s="28">
        <v>8845.2000000000007</v>
      </c>
      <c r="AZ24" s="28">
        <v>8806.2000000000007</v>
      </c>
      <c r="BA24" s="28">
        <v>8880.2999999999993</v>
      </c>
      <c r="BB24" s="29">
        <v>12114</v>
      </c>
      <c r="BC24" s="29">
        <v>13560</v>
      </c>
      <c r="BD24" s="29">
        <v>13566</v>
      </c>
      <c r="BE24" s="29">
        <v>13608</v>
      </c>
      <c r="BF24" s="29">
        <v>13548</v>
      </c>
      <c r="BG24" s="29">
        <v>13662</v>
      </c>
      <c r="BH24" s="30">
        <v>128724</v>
      </c>
      <c r="BI24" s="30">
        <v>160889</v>
      </c>
      <c r="BJ24" s="30">
        <v>160889</v>
      </c>
      <c r="BK24" s="30">
        <v>160889</v>
      </c>
      <c r="BL24" s="30">
        <v>160889</v>
      </c>
      <c r="BM24" s="30">
        <v>160889</v>
      </c>
    </row>
    <row r="25" spans="1:65" ht="15.75" thickBot="1" x14ac:dyDescent="0.3">
      <c r="A25" s="19" t="s">
        <v>678</v>
      </c>
      <c r="B25" s="19" t="s">
        <v>325</v>
      </c>
      <c r="C25" s="20">
        <v>1</v>
      </c>
      <c r="D25" s="20">
        <v>1</v>
      </c>
      <c r="E25" s="20">
        <v>1</v>
      </c>
      <c r="F25" s="20">
        <v>1</v>
      </c>
      <c r="G25" s="20">
        <v>1</v>
      </c>
      <c r="H25" s="20">
        <v>1</v>
      </c>
      <c r="I25" s="21">
        <v>2</v>
      </c>
      <c r="J25" s="87"/>
      <c r="K25" s="87"/>
      <c r="L25" s="87"/>
      <c r="M25" s="87"/>
      <c r="N25" s="87"/>
      <c r="O25" s="87"/>
      <c r="P25" s="22">
        <v>1.22</v>
      </c>
      <c r="Q25" s="22">
        <v>0.99</v>
      </c>
      <c r="R25" s="22">
        <v>1.06</v>
      </c>
      <c r="S25" s="22">
        <v>1.1100000000000001</v>
      </c>
      <c r="T25" s="22">
        <v>1.1599999999999999</v>
      </c>
      <c r="U25" s="22">
        <v>1.17</v>
      </c>
      <c r="V25" s="23">
        <v>65</v>
      </c>
      <c r="W25" s="23">
        <v>40.5</v>
      </c>
      <c r="X25" s="24">
        <v>65</v>
      </c>
      <c r="Y25" s="24">
        <v>65</v>
      </c>
      <c r="Z25" s="24">
        <v>65</v>
      </c>
      <c r="AA25" s="24">
        <v>65</v>
      </c>
      <c r="AB25" s="24">
        <v>65</v>
      </c>
      <c r="AC25" s="24">
        <v>65</v>
      </c>
      <c r="AD25" s="25">
        <v>2.27</v>
      </c>
      <c r="AE25" s="25">
        <v>2.44</v>
      </c>
      <c r="AF25" s="25">
        <v>2.4</v>
      </c>
      <c r="AG25" s="25">
        <v>2.35</v>
      </c>
      <c r="AH25" s="25">
        <v>2.33</v>
      </c>
      <c r="AI25" s="25">
        <v>2.27</v>
      </c>
      <c r="AJ25" s="26">
        <v>1.48</v>
      </c>
      <c r="AK25" s="26">
        <v>1.58</v>
      </c>
      <c r="AL25" s="26">
        <v>1.56</v>
      </c>
      <c r="AM25" s="26">
        <v>1.53</v>
      </c>
      <c r="AN25" s="26">
        <v>1.51</v>
      </c>
      <c r="AO25" s="26">
        <v>1.48</v>
      </c>
      <c r="AP25" s="27">
        <v>178.97</v>
      </c>
      <c r="AQ25" s="27">
        <v>214.71</v>
      </c>
      <c r="AR25" s="27">
        <v>211.44</v>
      </c>
      <c r="AS25" s="27">
        <v>208.17</v>
      </c>
      <c r="AT25" s="27">
        <v>204.9</v>
      </c>
      <c r="AU25" s="27">
        <v>201.63</v>
      </c>
      <c r="AV25" s="28">
        <v>7874.1</v>
      </c>
      <c r="AW25" s="28">
        <v>8814</v>
      </c>
      <c r="AX25" s="28">
        <v>8817.9</v>
      </c>
      <c r="AY25" s="28">
        <v>8845.2000000000007</v>
      </c>
      <c r="AZ25" s="28">
        <v>8806.2000000000007</v>
      </c>
      <c r="BA25" s="28">
        <v>8880.2999999999993</v>
      </c>
      <c r="BB25" s="29">
        <v>12114</v>
      </c>
      <c r="BC25" s="29">
        <v>13560</v>
      </c>
      <c r="BD25" s="29">
        <v>13566</v>
      </c>
      <c r="BE25" s="29">
        <v>13608</v>
      </c>
      <c r="BF25" s="29">
        <v>13548</v>
      </c>
      <c r="BG25" s="29">
        <v>13662</v>
      </c>
      <c r="BH25" s="30">
        <v>128862</v>
      </c>
      <c r="BI25" s="30">
        <v>156943</v>
      </c>
      <c r="BJ25" s="30">
        <v>156943</v>
      </c>
      <c r="BK25" s="30">
        <v>156943</v>
      </c>
      <c r="BL25" s="30">
        <v>156943</v>
      </c>
      <c r="BM25" s="30">
        <v>156943</v>
      </c>
    </row>
    <row r="26" spans="1:65" ht="15.75" thickBot="1" x14ac:dyDescent="0.3">
      <c r="A26" s="19" t="s">
        <v>679</v>
      </c>
      <c r="B26" s="19" t="s">
        <v>326</v>
      </c>
      <c r="C26" s="20">
        <v>1</v>
      </c>
      <c r="D26" s="20">
        <v>1</v>
      </c>
      <c r="E26" s="20">
        <v>1</v>
      </c>
      <c r="F26" s="20">
        <v>1</v>
      </c>
      <c r="G26" s="20">
        <v>1</v>
      </c>
      <c r="H26" s="20">
        <v>1</v>
      </c>
      <c r="I26" s="21">
        <v>2</v>
      </c>
      <c r="J26" s="87"/>
      <c r="K26" s="87"/>
      <c r="L26" s="87"/>
      <c r="M26" s="87"/>
      <c r="N26" s="87"/>
      <c r="O26" s="87"/>
      <c r="P26" s="22">
        <v>1.22</v>
      </c>
      <c r="Q26" s="22">
        <v>0.99</v>
      </c>
      <c r="R26" s="22">
        <v>1.06</v>
      </c>
      <c r="S26" s="22">
        <v>1.1100000000000001</v>
      </c>
      <c r="T26" s="22">
        <v>1.1599999999999999</v>
      </c>
      <c r="U26" s="22">
        <v>1.17</v>
      </c>
      <c r="V26" s="23">
        <v>65</v>
      </c>
      <c r="W26" s="23">
        <v>40.5</v>
      </c>
      <c r="X26" s="24">
        <v>65</v>
      </c>
      <c r="Y26" s="24">
        <v>65</v>
      </c>
      <c r="Z26" s="24">
        <v>65</v>
      </c>
      <c r="AA26" s="24">
        <v>65</v>
      </c>
      <c r="AB26" s="24">
        <v>65</v>
      </c>
      <c r="AC26" s="24">
        <v>65</v>
      </c>
      <c r="AD26" s="25">
        <v>9.6300000000000008</v>
      </c>
      <c r="AE26" s="25">
        <v>6.98</v>
      </c>
      <c r="AF26" s="25">
        <v>6.88</v>
      </c>
      <c r="AG26" s="25">
        <v>6.75</v>
      </c>
      <c r="AH26" s="25">
        <v>6.67</v>
      </c>
      <c r="AI26" s="25">
        <v>6.51</v>
      </c>
      <c r="AJ26" s="26">
        <v>6.26</v>
      </c>
      <c r="AK26" s="26">
        <v>4.54</v>
      </c>
      <c r="AL26" s="26">
        <v>4.47</v>
      </c>
      <c r="AM26" s="26">
        <v>4.3899999999999997</v>
      </c>
      <c r="AN26" s="26">
        <v>4.34</v>
      </c>
      <c r="AO26" s="26">
        <v>4.2300000000000004</v>
      </c>
      <c r="AP26" s="27">
        <v>758.08</v>
      </c>
      <c r="AQ26" s="27">
        <v>615.62</v>
      </c>
      <c r="AR26" s="27">
        <v>606.25</v>
      </c>
      <c r="AS26" s="27">
        <v>596.87</v>
      </c>
      <c r="AT26" s="27">
        <v>587.5</v>
      </c>
      <c r="AU26" s="27">
        <v>578.12</v>
      </c>
      <c r="AV26" s="28">
        <v>7874.1</v>
      </c>
      <c r="AW26" s="28">
        <v>8814</v>
      </c>
      <c r="AX26" s="28">
        <v>8817.9</v>
      </c>
      <c r="AY26" s="28">
        <v>8845.2000000000007</v>
      </c>
      <c r="AZ26" s="28">
        <v>8806.2000000000007</v>
      </c>
      <c r="BA26" s="28">
        <v>8880.2999999999993</v>
      </c>
      <c r="BB26" s="29">
        <v>12114</v>
      </c>
      <c r="BC26" s="29">
        <v>13560</v>
      </c>
      <c r="BD26" s="29">
        <v>13566</v>
      </c>
      <c r="BE26" s="29">
        <v>13608</v>
      </c>
      <c r="BF26" s="29">
        <v>13548</v>
      </c>
      <c r="BG26" s="29">
        <v>13662</v>
      </c>
      <c r="BH26" s="30">
        <v>545820</v>
      </c>
      <c r="BI26" s="30">
        <v>450000</v>
      </c>
      <c r="BJ26" s="30">
        <v>450000</v>
      </c>
      <c r="BK26" s="30">
        <v>450000</v>
      </c>
      <c r="BL26" s="30">
        <v>450000</v>
      </c>
      <c r="BM26" s="30">
        <v>450000</v>
      </c>
    </row>
    <row r="27" spans="1:65" ht="15.75" thickBot="1" x14ac:dyDescent="0.3">
      <c r="A27" s="19" t="s">
        <v>680</v>
      </c>
      <c r="B27" s="19" t="s">
        <v>364</v>
      </c>
      <c r="C27" s="20">
        <v>1</v>
      </c>
      <c r="D27" s="20">
        <v>1</v>
      </c>
      <c r="E27" s="20">
        <v>1</v>
      </c>
      <c r="F27" s="20">
        <v>1</v>
      </c>
      <c r="G27" s="20">
        <v>1</v>
      </c>
      <c r="H27" s="20">
        <v>1</v>
      </c>
      <c r="I27" s="21">
        <v>2</v>
      </c>
      <c r="J27" s="87"/>
      <c r="K27" s="87"/>
      <c r="L27" s="87"/>
      <c r="M27" s="87"/>
      <c r="N27" s="87"/>
      <c r="O27" s="87"/>
      <c r="P27" s="22">
        <v>1.22</v>
      </c>
      <c r="Q27" s="22">
        <v>0.99</v>
      </c>
      <c r="R27" s="22">
        <v>1.06</v>
      </c>
      <c r="S27" s="22">
        <v>1.1100000000000001</v>
      </c>
      <c r="T27" s="22">
        <v>1.1599999999999999</v>
      </c>
      <c r="U27" s="22">
        <v>1.17</v>
      </c>
      <c r="V27" s="23">
        <v>65</v>
      </c>
      <c r="W27" s="23">
        <v>40.5</v>
      </c>
      <c r="X27" s="24">
        <v>65</v>
      </c>
      <c r="Y27" s="24">
        <v>65</v>
      </c>
      <c r="Z27" s="24">
        <v>65</v>
      </c>
      <c r="AA27" s="24">
        <v>65</v>
      </c>
      <c r="AB27" s="24">
        <v>65</v>
      </c>
      <c r="AC27" s="24">
        <v>65</v>
      </c>
      <c r="AD27" s="25">
        <v>2.19</v>
      </c>
      <c r="AE27" s="25">
        <v>1.63</v>
      </c>
      <c r="AF27" s="25">
        <v>1.6</v>
      </c>
      <c r="AG27" s="25">
        <v>1.57</v>
      </c>
      <c r="AH27" s="25">
        <v>1.56</v>
      </c>
      <c r="AI27" s="25">
        <v>1.52</v>
      </c>
      <c r="AJ27" s="26">
        <v>1.42</v>
      </c>
      <c r="AK27" s="26">
        <v>1.06</v>
      </c>
      <c r="AL27" s="26">
        <v>1.04</v>
      </c>
      <c r="AM27" s="26">
        <v>1.02</v>
      </c>
      <c r="AN27" s="26">
        <v>1.01</v>
      </c>
      <c r="AO27" s="26">
        <v>0.99</v>
      </c>
      <c r="AP27" s="27">
        <v>172.37</v>
      </c>
      <c r="AQ27" s="27">
        <v>143.51</v>
      </c>
      <c r="AR27" s="27">
        <v>141.32</v>
      </c>
      <c r="AS27" s="27">
        <v>139.13999999999999</v>
      </c>
      <c r="AT27" s="27">
        <v>136.94999999999999</v>
      </c>
      <c r="AU27" s="27">
        <v>134.77000000000001</v>
      </c>
      <c r="AV27" s="28">
        <v>7874.1</v>
      </c>
      <c r="AW27" s="28">
        <v>8814</v>
      </c>
      <c r="AX27" s="28">
        <v>8817.9</v>
      </c>
      <c r="AY27" s="28">
        <v>8845.2000000000007</v>
      </c>
      <c r="AZ27" s="28">
        <v>8806.2000000000007</v>
      </c>
      <c r="BA27" s="28">
        <v>8880.2999999999993</v>
      </c>
      <c r="BB27" s="29">
        <v>12114</v>
      </c>
      <c r="BC27" s="29">
        <v>13560</v>
      </c>
      <c r="BD27" s="29">
        <v>13566</v>
      </c>
      <c r="BE27" s="29">
        <v>13608</v>
      </c>
      <c r="BF27" s="29">
        <v>13548</v>
      </c>
      <c r="BG27" s="29">
        <v>13662</v>
      </c>
      <c r="BH27" s="30">
        <v>144789</v>
      </c>
      <c r="BI27" s="30">
        <v>122382</v>
      </c>
      <c r="BJ27" s="30">
        <v>122382</v>
      </c>
      <c r="BK27" s="30">
        <v>122382</v>
      </c>
      <c r="BL27" s="30">
        <v>122382</v>
      </c>
      <c r="BM27" s="30">
        <v>122382</v>
      </c>
    </row>
    <row r="28" spans="1:65" ht="15.75" thickBot="1" x14ac:dyDescent="0.3">
      <c r="A28" s="19" t="s">
        <v>681</v>
      </c>
      <c r="B28" s="19" t="s">
        <v>366</v>
      </c>
      <c r="C28" s="20">
        <v>1</v>
      </c>
      <c r="D28" s="20">
        <v>1</v>
      </c>
      <c r="E28" s="20">
        <v>1</v>
      </c>
      <c r="F28" s="20">
        <v>1</v>
      </c>
      <c r="G28" s="20">
        <v>1</v>
      </c>
      <c r="H28" s="20">
        <v>1</v>
      </c>
      <c r="I28" s="21">
        <v>2</v>
      </c>
      <c r="J28" s="87"/>
      <c r="K28" s="87"/>
      <c r="L28" s="87"/>
      <c r="M28" s="87"/>
      <c r="N28" s="87"/>
      <c r="O28" s="87"/>
      <c r="P28" s="22">
        <v>1.22</v>
      </c>
      <c r="Q28" s="22">
        <v>0.99</v>
      </c>
      <c r="R28" s="22">
        <v>1.06</v>
      </c>
      <c r="S28" s="22">
        <v>1.1100000000000001</v>
      </c>
      <c r="T28" s="22">
        <v>1.1599999999999999</v>
      </c>
      <c r="U28" s="22">
        <v>1.17</v>
      </c>
      <c r="V28" s="23">
        <v>65</v>
      </c>
      <c r="W28" s="23">
        <v>40.5</v>
      </c>
      <c r="X28" s="24">
        <v>65</v>
      </c>
      <c r="Y28" s="24">
        <v>65</v>
      </c>
      <c r="Z28" s="24">
        <v>65</v>
      </c>
      <c r="AA28" s="24">
        <v>65</v>
      </c>
      <c r="AB28" s="24">
        <v>65</v>
      </c>
      <c r="AC28" s="24">
        <v>65</v>
      </c>
      <c r="AD28" s="25">
        <v>1.85</v>
      </c>
      <c r="AE28" s="25">
        <v>2.12</v>
      </c>
      <c r="AF28" s="25">
        <v>2.08</v>
      </c>
      <c r="AG28" s="25">
        <v>2.0499999999999998</v>
      </c>
      <c r="AH28" s="25">
        <v>2.02</v>
      </c>
      <c r="AI28" s="25">
        <v>1.97</v>
      </c>
      <c r="AJ28" s="26">
        <v>1.2</v>
      </c>
      <c r="AK28" s="26">
        <v>1.38</v>
      </c>
      <c r="AL28" s="26">
        <v>1.35</v>
      </c>
      <c r="AM28" s="26">
        <v>1.33</v>
      </c>
      <c r="AN28" s="26">
        <v>1.31</v>
      </c>
      <c r="AO28" s="26">
        <v>1.28</v>
      </c>
      <c r="AP28" s="27">
        <v>145.44999999999999</v>
      </c>
      <c r="AQ28" s="27">
        <v>186.63</v>
      </c>
      <c r="AR28" s="27">
        <v>183.79</v>
      </c>
      <c r="AS28" s="27">
        <v>180.94</v>
      </c>
      <c r="AT28" s="27">
        <v>178.1</v>
      </c>
      <c r="AU28" s="27">
        <v>175.26</v>
      </c>
      <c r="AV28" s="28">
        <v>7874.1</v>
      </c>
      <c r="AW28" s="28">
        <v>8814</v>
      </c>
      <c r="AX28" s="28">
        <v>8817.9</v>
      </c>
      <c r="AY28" s="28">
        <v>8845.2000000000007</v>
      </c>
      <c r="AZ28" s="28">
        <v>8806.2000000000007</v>
      </c>
      <c r="BA28" s="28">
        <v>8880.2999999999993</v>
      </c>
      <c r="BB28" s="29">
        <v>12114</v>
      </c>
      <c r="BC28" s="29">
        <v>13560</v>
      </c>
      <c r="BD28" s="29">
        <v>13566</v>
      </c>
      <c r="BE28" s="29">
        <v>13608</v>
      </c>
      <c r="BF28" s="29">
        <v>13548</v>
      </c>
      <c r="BG28" s="29">
        <v>13662</v>
      </c>
      <c r="BH28" s="30">
        <v>96000</v>
      </c>
      <c r="BI28" s="30">
        <v>125050</v>
      </c>
      <c r="BJ28" s="30">
        <v>125050</v>
      </c>
      <c r="BK28" s="30">
        <v>125050</v>
      </c>
      <c r="BL28" s="30">
        <v>125050</v>
      </c>
      <c r="BM28" s="30">
        <v>125050</v>
      </c>
    </row>
    <row r="29" spans="1:65" ht="15.75" thickBot="1" x14ac:dyDescent="0.3">
      <c r="A29" s="19" t="s">
        <v>682</v>
      </c>
      <c r="B29" s="19" t="s">
        <v>327</v>
      </c>
      <c r="C29" s="20">
        <v>1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1">
        <v>2</v>
      </c>
      <c r="J29" s="87"/>
      <c r="K29" s="87"/>
      <c r="L29" s="87"/>
      <c r="M29" s="87"/>
      <c r="N29" s="87"/>
      <c r="O29" s="87"/>
      <c r="P29" s="22">
        <v>1.22</v>
      </c>
      <c r="Q29" s="22">
        <v>0.99</v>
      </c>
      <c r="R29" s="22">
        <v>1.06</v>
      </c>
      <c r="S29" s="22">
        <v>1.1100000000000001</v>
      </c>
      <c r="T29" s="22">
        <v>1.1599999999999999</v>
      </c>
      <c r="U29" s="22">
        <v>1.17</v>
      </c>
      <c r="V29" s="23">
        <v>65</v>
      </c>
      <c r="W29" s="23">
        <v>40.5</v>
      </c>
      <c r="X29" s="24">
        <v>65</v>
      </c>
      <c r="Y29" s="24">
        <v>65</v>
      </c>
      <c r="Z29" s="24">
        <v>65</v>
      </c>
      <c r="AA29" s="24">
        <v>65</v>
      </c>
      <c r="AB29" s="24">
        <v>65</v>
      </c>
      <c r="AC29" s="24">
        <v>65</v>
      </c>
      <c r="AD29" s="25">
        <v>4.16</v>
      </c>
      <c r="AE29" s="25">
        <v>0.56000000000000005</v>
      </c>
      <c r="AF29" s="25">
        <v>0.56000000000000005</v>
      </c>
      <c r="AG29" s="25">
        <v>0.54</v>
      </c>
      <c r="AH29" s="25">
        <v>0.54</v>
      </c>
      <c r="AI29" s="25">
        <v>0.53</v>
      </c>
      <c r="AJ29" s="26">
        <v>2.71</v>
      </c>
      <c r="AK29" s="26">
        <v>0.37</v>
      </c>
      <c r="AL29" s="26">
        <v>0.36</v>
      </c>
      <c r="AM29" s="26">
        <v>0.35</v>
      </c>
      <c r="AN29" s="26">
        <v>0.35</v>
      </c>
      <c r="AO29" s="26">
        <v>0.34</v>
      </c>
      <c r="AP29" s="27">
        <v>327.8</v>
      </c>
      <c r="AQ29" s="27">
        <v>49.72</v>
      </c>
      <c r="AR29" s="27">
        <v>48.96</v>
      </c>
      <c r="AS29" s="27">
        <v>48.2</v>
      </c>
      <c r="AT29" s="27">
        <v>47.44</v>
      </c>
      <c r="AU29" s="27">
        <v>46.69</v>
      </c>
      <c r="AV29" s="28">
        <v>7874.1</v>
      </c>
      <c r="AW29" s="28">
        <v>8814</v>
      </c>
      <c r="AX29" s="28">
        <v>8817.9</v>
      </c>
      <c r="AY29" s="28">
        <v>8845.2000000000007</v>
      </c>
      <c r="AZ29" s="28">
        <v>8806.2000000000007</v>
      </c>
      <c r="BA29" s="28">
        <v>8880.2999999999993</v>
      </c>
      <c r="BB29" s="29">
        <v>12114</v>
      </c>
      <c r="BC29" s="29">
        <v>13560</v>
      </c>
      <c r="BD29" s="29">
        <v>13566</v>
      </c>
      <c r="BE29" s="29">
        <v>13608</v>
      </c>
      <c r="BF29" s="29">
        <v>13548</v>
      </c>
      <c r="BG29" s="29">
        <v>13662</v>
      </c>
      <c r="BH29" s="30">
        <v>295020</v>
      </c>
      <c r="BI29" s="30">
        <v>45425</v>
      </c>
      <c r="BJ29" s="30">
        <v>45425</v>
      </c>
      <c r="BK29" s="30">
        <v>45425</v>
      </c>
      <c r="BL29" s="30">
        <v>45425</v>
      </c>
      <c r="BM29" s="30">
        <v>45425</v>
      </c>
    </row>
    <row r="30" spans="1:65" ht="15.75" thickBot="1" x14ac:dyDescent="0.3">
      <c r="A30" s="19" t="s">
        <v>683</v>
      </c>
      <c r="B30" s="19" t="s">
        <v>369</v>
      </c>
      <c r="C30" s="20">
        <v>1</v>
      </c>
      <c r="D30" s="20">
        <v>1</v>
      </c>
      <c r="E30" s="20">
        <v>1</v>
      </c>
      <c r="F30" s="20">
        <v>1</v>
      </c>
      <c r="G30" s="20">
        <v>1</v>
      </c>
      <c r="H30" s="20">
        <v>1</v>
      </c>
      <c r="I30" s="21">
        <v>2</v>
      </c>
      <c r="J30" s="87"/>
      <c r="K30" s="87"/>
      <c r="L30" s="87"/>
      <c r="M30" s="87"/>
      <c r="N30" s="87"/>
      <c r="O30" s="87"/>
      <c r="P30" s="22">
        <v>1.22</v>
      </c>
      <c r="Q30" s="22">
        <v>0.99</v>
      </c>
      <c r="R30" s="22">
        <v>1.06</v>
      </c>
      <c r="S30" s="22">
        <v>1.1100000000000001</v>
      </c>
      <c r="T30" s="22">
        <v>1.1599999999999999</v>
      </c>
      <c r="U30" s="22">
        <v>1.17</v>
      </c>
      <c r="V30" s="23">
        <v>65</v>
      </c>
      <c r="W30" s="23">
        <v>40.5</v>
      </c>
      <c r="X30" s="24">
        <v>65</v>
      </c>
      <c r="Y30" s="24">
        <v>65</v>
      </c>
      <c r="Z30" s="24">
        <v>65</v>
      </c>
      <c r="AA30" s="24">
        <v>65</v>
      </c>
      <c r="AB30" s="24">
        <v>65</v>
      </c>
      <c r="AC30" s="24">
        <v>65</v>
      </c>
      <c r="AD30" s="25">
        <v>8.66</v>
      </c>
      <c r="AE30" s="25">
        <v>11.35</v>
      </c>
      <c r="AF30" s="25">
        <v>12.85</v>
      </c>
      <c r="AG30" s="25">
        <v>15.01</v>
      </c>
      <c r="AH30" s="25">
        <v>17.16</v>
      </c>
      <c r="AI30" s="25">
        <v>17.46</v>
      </c>
      <c r="AJ30" s="26">
        <v>5.63</v>
      </c>
      <c r="AK30" s="26">
        <v>7.38</v>
      </c>
      <c r="AL30" s="26">
        <v>8.35</v>
      </c>
      <c r="AM30" s="26">
        <v>9.76</v>
      </c>
      <c r="AN30" s="26">
        <v>11.16</v>
      </c>
      <c r="AO30" s="26">
        <v>11.35</v>
      </c>
      <c r="AP30" s="27">
        <v>681.82</v>
      </c>
      <c r="AQ30" s="27">
        <v>1000.32</v>
      </c>
      <c r="AR30" s="27">
        <v>1133.27</v>
      </c>
      <c r="AS30" s="27">
        <v>1327.77</v>
      </c>
      <c r="AT30" s="27">
        <v>1511.44</v>
      </c>
      <c r="AU30" s="27">
        <v>1550.86</v>
      </c>
      <c r="AV30" s="28">
        <v>7874.1</v>
      </c>
      <c r="AW30" s="28">
        <v>8814</v>
      </c>
      <c r="AX30" s="28">
        <v>8817.9</v>
      </c>
      <c r="AY30" s="28">
        <v>8845.2000000000007</v>
      </c>
      <c r="AZ30" s="28">
        <v>8806.2000000000007</v>
      </c>
      <c r="BA30" s="28">
        <v>8880.2999999999993</v>
      </c>
      <c r="BB30" s="29">
        <v>12114</v>
      </c>
      <c r="BC30" s="29">
        <v>13560</v>
      </c>
      <c r="BD30" s="29">
        <v>13566</v>
      </c>
      <c r="BE30" s="29">
        <v>13608</v>
      </c>
      <c r="BF30" s="29">
        <v>13548</v>
      </c>
      <c r="BG30" s="29">
        <v>13662</v>
      </c>
      <c r="BH30" s="30">
        <v>450000</v>
      </c>
      <c r="BI30" s="30">
        <v>670268</v>
      </c>
      <c r="BJ30" s="30">
        <v>771092</v>
      </c>
      <c r="BK30" s="30">
        <v>917623</v>
      </c>
      <c r="BL30" s="30">
        <v>1061223</v>
      </c>
      <c r="BM30" s="30">
        <v>1106560</v>
      </c>
    </row>
    <row r="31" spans="1:65" ht="15.75" thickBot="1" x14ac:dyDescent="0.3">
      <c r="A31" s="19" t="s">
        <v>684</v>
      </c>
      <c r="B31" s="19" t="s">
        <v>329</v>
      </c>
      <c r="C31" s="20">
        <v>1</v>
      </c>
      <c r="D31" s="20">
        <v>1</v>
      </c>
      <c r="E31" s="20">
        <v>1</v>
      </c>
      <c r="F31" s="20">
        <v>1</v>
      </c>
      <c r="G31" s="20">
        <v>1</v>
      </c>
      <c r="H31" s="20">
        <v>1</v>
      </c>
      <c r="I31" s="21">
        <v>2</v>
      </c>
      <c r="J31" s="87"/>
      <c r="K31" s="87"/>
      <c r="L31" s="87"/>
      <c r="M31" s="87"/>
      <c r="N31" s="87"/>
      <c r="O31" s="87"/>
      <c r="P31" s="22">
        <v>1.22</v>
      </c>
      <c r="Q31" s="22">
        <v>0.99</v>
      </c>
      <c r="R31" s="22">
        <v>1.06</v>
      </c>
      <c r="S31" s="22">
        <v>1.1100000000000001</v>
      </c>
      <c r="T31" s="22">
        <v>1.1599999999999999</v>
      </c>
      <c r="U31" s="22">
        <v>1.17</v>
      </c>
      <c r="V31" s="23">
        <v>65</v>
      </c>
      <c r="W31" s="23">
        <v>40.5</v>
      </c>
      <c r="X31" s="24">
        <v>65</v>
      </c>
      <c r="Y31" s="24">
        <v>65</v>
      </c>
      <c r="Z31" s="24">
        <v>65</v>
      </c>
      <c r="AA31" s="24">
        <v>65</v>
      </c>
      <c r="AB31" s="24">
        <v>65</v>
      </c>
      <c r="AC31" s="24">
        <v>65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6">
        <v>0</v>
      </c>
      <c r="AK31" s="26">
        <v>0</v>
      </c>
      <c r="AL31" s="26">
        <v>0</v>
      </c>
      <c r="AM31" s="26">
        <v>0</v>
      </c>
      <c r="AN31" s="26">
        <v>0</v>
      </c>
      <c r="AO31" s="26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8">
        <v>7874.1</v>
      </c>
      <c r="AW31" s="28">
        <v>8814</v>
      </c>
      <c r="AX31" s="28">
        <v>8817.9</v>
      </c>
      <c r="AY31" s="28">
        <v>8845.2000000000007</v>
      </c>
      <c r="AZ31" s="28">
        <v>8806.2000000000007</v>
      </c>
      <c r="BA31" s="28">
        <v>8880.2999999999993</v>
      </c>
      <c r="BB31" s="29">
        <v>12114</v>
      </c>
      <c r="BC31" s="29">
        <v>13560</v>
      </c>
      <c r="BD31" s="29">
        <v>13566</v>
      </c>
      <c r="BE31" s="29">
        <v>13608</v>
      </c>
      <c r="BF31" s="29">
        <v>13548</v>
      </c>
      <c r="BG31" s="29">
        <v>13662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</row>
    <row r="32" spans="1:65" ht="15.75" thickBot="1" x14ac:dyDescent="0.3">
      <c r="A32" s="19" t="s">
        <v>685</v>
      </c>
      <c r="B32" s="19" t="s">
        <v>331</v>
      </c>
      <c r="C32" s="20">
        <v>1</v>
      </c>
      <c r="D32" s="20">
        <v>1</v>
      </c>
      <c r="E32" s="20">
        <v>1</v>
      </c>
      <c r="F32" s="20">
        <v>1</v>
      </c>
      <c r="G32" s="20">
        <v>1</v>
      </c>
      <c r="H32" s="20">
        <v>1</v>
      </c>
      <c r="I32" s="21">
        <v>2</v>
      </c>
      <c r="J32" s="87"/>
      <c r="K32" s="87"/>
      <c r="L32" s="87"/>
      <c r="M32" s="87"/>
      <c r="N32" s="87"/>
      <c r="O32" s="87"/>
      <c r="P32" s="22">
        <v>1.22</v>
      </c>
      <c r="Q32" s="22">
        <v>0.99</v>
      </c>
      <c r="R32" s="22">
        <v>1.06</v>
      </c>
      <c r="S32" s="22">
        <v>1.1100000000000001</v>
      </c>
      <c r="T32" s="22">
        <v>1.1599999999999999</v>
      </c>
      <c r="U32" s="22">
        <v>1.17</v>
      </c>
      <c r="V32" s="23">
        <v>65</v>
      </c>
      <c r="W32" s="23">
        <v>40.5</v>
      </c>
      <c r="X32" s="24">
        <v>65</v>
      </c>
      <c r="Y32" s="24">
        <v>65</v>
      </c>
      <c r="Z32" s="24">
        <v>65</v>
      </c>
      <c r="AA32" s="24">
        <v>65</v>
      </c>
      <c r="AB32" s="24">
        <v>65</v>
      </c>
      <c r="AC32" s="24">
        <v>65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6">
        <v>0</v>
      </c>
      <c r="AK32" s="26">
        <v>0</v>
      </c>
      <c r="AL32" s="26">
        <v>0</v>
      </c>
      <c r="AM32" s="26">
        <v>0</v>
      </c>
      <c r="AN32" s="26">
        <v>0</v>
      </c>
      <c r="AO32" s="26">
        <v>0</v>
      </c>
      <c r="AP32" s="27">
        <v>0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8">
        <v>7874.1</v>
      </c>
      <c r="AW32" s="28">
        <v>8814</v>
      </c>
      <c r="AX32" s="28">
        <v>8817.9</v>
      </c>
      <c r="AY32" s="28">
        <v>8845.2000000000007</v>
      </c>
      <c r="AZ32" s="28">
        <v>8806.2000000000007</v>
      </c>
      <c r="BA32" s="28">
        <v>8880.2999999999993</v>
      </c>
      <c r="BB32" s="29">
        <v>12114</v>
      </c>
      <c r="BC32" s="29">
        <v>13560</v>
      </c>
      <c r="BD32" s="29">
        <v>13566</v>
      </c>
      <c r="BE32" s="29">
        <v>13608</v>
      </c>
      <c r="BF32" s="29">
        <v>13548</v>
      </c>
      <c r="BG32" s="29">
        <v>13662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</row>
    <row r="33" spans="1:65" ht="15.75" thickBot="1" x14ac:dyDescent="0.3">
      <c r="A33" s="19" t="s">
        <v>686</v>
      </c>
      <c r="B33" s="19" t="s">
        <v>333</v>
      </c>
      <c r="C33" s="20">
        <v>1</v>
      </c>
      <c r="D33" s="20">
        <v>1</v>
      </c>
      <c r="E33" s="20">
        <v>1</v>
      </c>
      <c r="F33" s="20">
        <v>1</v>
      </c>
      <c r="G33" s="20">
        <v>1</v>
      </c>
      <c r="H33" s="20">
        <v>1</v>
      </c>
      <c r="I33" s="21">
        <v>2</v>
      </c>
      <c r="J33" s="87"/>
      <c r="K33" s="87"/>
      <c r="L33" s="87"/>
      <c r="M33" s="87"/>
      <c r="N33" s="87"/>
      <c r="O33" s="87"/>
      <c r="P33" s="22">
        <v>1.22</v>
      </c>
      <c r="Q33" s="22">
        <v>0.99</v>
      </c>
      <c r="R33" s="22">
        <v>1.06</v>
      </c>
      <c r="S33" s="22">
        <v>1.1100000000000001</v>
      </c>
      <c r="T33" s="22">
        <v>1.1599999999999999</v>
      </c>
      <c r="U33" s="22">
        <v>1.17</v>
      </c>
      <c r="V33" s="23">
        <v>65</v>
      </c>
      <c r="W33" s="23">
        <v>40.5</v>
      </c>
      <c r="X33" s="24">
        <v>65</v>
      </c>
      <c r="Y33" s="24">
        <v>65</v>
      </c>
      <c r="Z33" s="24">
        <v>65</v>
      </c>
      <c r="AA33" s="24">
        <v>65</v>
      </c>
      <c r="AB33" s="24">
        <v>65</v>
      </c>
      <c r="AC33" s="24">
        <v>65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6">
        <v>0</v>
      </c>
      <c r="AK33" s="26">
        <v>0</v>
      </c>
      <c r="AL33" s="26">
        <v>0</v>
      </c>
      <c r="AM33" s="26">
        <v>0</v>
      </c>
      <c r="AN33" s="26">
        <v>0</v>
      </c>
      <c r="AO33" s="26">
        <v>0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>
        <v>0</v>
      </c>
      <c r="AV33" s="28">
        <v>7874.1</v>
      </c>
      <c r="AW33" s="28">
        <v>8814</v>
      </c>
      <c r="AX33" s="28">
        <v>8817.9</v>
      </c>
      <c r="AY33" s="28">
        <v>8845.2000000000007</v>
      </c>
      <c r="AZ33" s="28">
        <v>8806.2000000000007</v>
      </c>
      <c r="BA33" s="28">
        <v>8880.2999999999993</v>
      </c>
      <c r="BB33" s="29">
        <v>12114</v>
      </c>
      <c r="BC33" s="29">
        <v>13560</v>
      </c>
      <c r="BD33" s="29">
        <v>13566</v>
      </c>
      <c r="BE33" s="29">
        <v>13608</v>
      </c>
      <c r="BF33" s="29">
        <v>13548</v>
      </c>
      <c r="BG33" s="29">
        <v>13662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</row>
    <row r="34" spans="1:65" ht="15.75" thickBot="1" x14ac:dyDescent="0.3">
      <c r="A34" s="96" t="s">
        <v>687</v>
      </c>
      <c r="B34" s="96" t="s">
        <v>370</v>
      </c>
      <c r="C34" s="97">
        <v>1</v>
      </c>
      <c r="D34" s="97">
        <v>1</v>
      </c>
      <c r="E34" s="97">
        <v>1</v>
      </c>
      <c r="F34" s="97">
        <v>1</v>
      </c>
      <c r="G34" s="97">
        <v>1</v>
      </c>
      <c r="H34" s="97">
        <v>1</v>
      </c>
      <c r="I34" s="98">
        <v>2</v>
      </c>
      <c r="J34" s="99"/>
      <c r="K34" s="99"/>
      <c r="L34" s="99"/>
      <c r="M34" s="99"/>
      <c r="N34" s="99"/>
      <c r="O34" s="99"/>
      <c r="P34" s="100">
        <v>1.22</v>
      </c>
      <c r="Q34" s="100">
        <v>0.99</v>
      </c>
      <c r="R34" s="100">
        <v>1.06</v>
      </c>
      <c r="S34" s="100">
        <v>1.1100000000000001</v>
      </c>
      <c r="T34" s="100">
        <v>1.1599999999999999</v>
      </c>
      <c r="U34" s="100">
        <v>1.17</v>
      </c>
      <c r="V34" s="101">
        <v>65</v>
      </c>
      <c r="W34" s="101">
        <v>40.5</v>
      </c>
      <c r="X34" s="102">
        <v>65</v>
      </c>
      <c r="Y34" s="102">
        <v>65</v>
      </c>
      <c r="Z34" s="102">
        <v>65</v>
      </c>
      <c r="AA34" s="102">
        <v>65</v>
      </c>
      <c r="AB34" s="102">
        <v>65</v>
      </c>
      <c r="AC34" s="102">
        <v>65</v>
      </c>
      <c r="AD34" s="103">
        <v>0</v>
      </c>
      <c r="AE34" s="103">
        <v>0.05</v>
      </c>
      <c r="AF34" s="103">
        <v>3.27</v>
      </c>
      <c r="AG34" s="103">
        <v>4.29</v>
      </c>
      <c r="AH34" s="103">
        <v>5.3</v>
      </c>
      <c r="AI34" s="103">
        <v>6.2</v>
      </c>
      <c r="AJ34" s="104">
        <v>0</v>
      </c>
      <c r="AK34" s="104">
        <v>0.04</v>
      </c>
      <c r="AL34" s="104">
        <v>2.13</v>
      </c>
      <c r="AM34" s="104">
        <v>2.79</v>
      </c>
      <c r="AN34" s="104">
        <v>3.44</v>
      </c>
      <c r="AO34" s="104">
        <v>4.03</v>
      </c>
      <c r="AP34" s="105">
        <v>0</v>
      </c>
      <c r="AQ34" s="105">
        <v>4.78</v>
      </c>
      <c r="AR34" s="105">
        <v>288.74</v>
      </c>
      <c r="AS34" s="105">
        <v>379.03</v>
      </c>
      <c r="AT34" s="105">
        <v>466.35</v>
      </c>
      <c r="AU34" s="105">
        <v>550.69000000000005</v>
      </c>
      <c r="AV34" s="106">
        <v>7874.1</v>
      </c>
      <c r="AW34" s="106">
        <v>8814</v>
      </c>
      <c r="AX34" s="106">
        <v>8817.9</v>
      </c>
      <c r="AY34" s="106">
        <v>8845.2000000000007</v>
      </c>
      <c r="AZ34" s="106">
        <v>8806.2000000000007</v>
      </c>
      <c r="BA34" s="106">
        <v>8880.2999999999993</v>
      </c>
      <c r="BB34" s="107">
        <v>12114</v>
      </c>
      <c r="BC34" s="107">
        <v>13560</v>
      </c>
      <c r="BD34" s="107">
        <v>13566</v>
      </c>
      <c r="BE34" s="107">
        <v>13608</v>
      </c>
      <c r="BF34" s="107">
        <v>13548</v>
      </c>
      <c r="BG34" s="107">
        <v>13662</v>
      </c>
      <c r="BH34" s="108">
        <v>0</v>
      </c>
      <c r="BI34" s="108">
        <v>2911</v>
      </c>
      <c r="BJ34" s="108">
        <v>178601</v>
      </c>
      <c r="BK34" s="108">
        <v>238135</v>
      </c>
      <c r="BL34" s="108">
        <v>297669</v>
      </c>
      <c r="BM34" s="108">
        <v>357202</v>
      </c>
    </row>
    <row r="35" spans="1:65" x14ac:dyDescent="0.25">
      <c r="A35" s="117" t="s">
        <v>692</v>
      </c>
      <c r="B35" s="118" t="s">
        <v>690</v>
      </c>
      <c r="C35" s="119" t="s">
        <v>691</v>
      </c>
      <c r="D35" s="119" t="s">
        <v>689</v>
      </c>
      <c r="E35" s="120" t="s">
        <v>688</v>
      </c>
      <c r="F35" s="122" t="s">
        <v>693</v>
      </c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>
        <f>$F$36</f>
        <v>484.24242424242425</v>
      </c>
      <c r="AQ35" s="111">
        <f t="shared" ref="AQ35:AU35" si="5">$F$36</f>
        <v>484.24242424242425</v>
      </c>
      <c r="AR35" s="111">
        <f t="shared" si="5"/>
        <v>484.24242424242425</v>
      </c>
      <c r="AS35" s="111">
        <f t="shared" si="5"/>
        <v>484.24242424242425</v>
      </c>
      <c r="AT35" s="111">
        <f t="shared" si="5"/>
        <v>484.24242424242425</v>
      </c>
      <c r="AU35" s="111">
        <f t="shared" si="5"/>
        <v>484.24242424242425</v>
      </c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</row>
    <row r="36" spans="1:65" s="94" customFormat="1" x14ac:dyDescent="0.25">
      <c r="A36" s="125" t="s">
        <v>105</v>
      </c>
      <c r="B36" s="123" t="s">
        <v>106</v>
      </c>
      <c r="C36" s="123">
        <v>660</v>
      </c>
      <c r="D36" s="124">
        <f>C36/60</f>
        <v>11</v>
      </c>
      <c r="E36" s="123">
        <v>319600</v>
      </c>
      <c r="F36" s="124">
        <f>IF(AND(C36&lt;&gt;0,E36&lt;&gt;0),E36/C36,0)</f>
        <v>484.24242424242425</v>
      </c>
    </row>
    <row r="37" spans="1:65" x14ac:dyDescent="0.25">
      <c r="A37" s="126"/>
      <c r="B37" s="126"/>
      <c r="C37" s="127"/>
      <c r="D37" s="124">
        <f t="shared" ref="D37:D76" si="6">C37/60</f>
        <v>0</v>
      </c>
      <c r="E37" s="127"/>
      <c r="F37" s="124">
        <f t="shared" ref="F37:F76" si="7">IF(AND(C37&lt;&gt;0,E37&lt;&gt;0),E37/C37,0)</f>
        <v>0</v>
      </c>
      <c r="AP37" s="94"/>
    </row>
    <row r="38" spans="1:65" x14ac:dyDescent="0.25">
      <c r="A38" s="126"/>
      <c r="B38" s="126"/>
      <c r="C38" s="126"/>
      <c r="D38" s="124">
        <f t="shared" si="6"/>
        <v>0</v>
      </c>
      <c r="E38" s="126"/>
      <c r="F38" s="124">
        <f t="shared" si="7"/>
        <v>0</v>
      </c>
      <c r="AP38" s="94"/>
    </row>
    <row r="39" spans="1:65" x14ac:dyDescent="0.25">
      <c r="A39" s="126"/>
      <c r="B39" s="126"/>
      <c r="C39" s="126"/>
      <c r="D39" s="124">
        <f t="shared" si="6"/>
        <v>0</v>
      </c>
      <c r="E39" s="126"/>
      <c r="F39" s="124">
        <f t="shared" si="7"/>
        <v>0</v>
      </c>
      <c r="AP39" s="94"/>
    </row>
    <row r="40" spans="1:65" x14ac:dyDescent="0.25">
      <c r="A40" s="126"/>
      <c r="B40" s="126"/>
      <c r="C40" s="126"/>
      <c r="D40" s="124">
        <f t="shared" si="6"/>
        <v>0</v>
      </c>
      <c r="E40" s="126"/>
      <c r="F40" s="124">
        <f t="shared" si="7"/>
        <v>0</v>
      </c>
      <c r="AP40" s="94"/>
    </row>
    <row r="41" spans="1:65" x14ac:dyDescent="0.25">
      <c r="A41" s="126"/>
      <c r="B41" s="126"/>
      <c r="C41" s="126"/>
      <c r="D41" s="124">
        <f t="shared" si="6"/>
        <v>0</v>
      </c>
      <c r="E41" s="126"/>
      <c r="F41" s="124">
        <f t="shared" si="7"/>
        <v>0</v>
      </c>
      <c r="AP41" s="94"/>
    </row>
    <row r="42" spans="1:65" x14ac:dyDescent="0.25">
      <c r="A42" s="126"/>
      <c r="B42" s="126"/>
      <c r="C42" s="126"/>
      <c r="D42" s="124">
        <f t="shared" si="6"/>
        <v>0</v>
      </c>
      <c r="E42" s="126"/>
      <c r="F42" s="124">
        <f t="shared" si="7"/>
        <v>0</v>
      </c>
      <c r="AP42" s="94"/>
    </row>
    <row r="43" spans="1:65" x14ac:dyDescent="0.25">
      <c r="A43" s="126"/>
      <c r="B43" s="126"/>
      <c r="C43" s="126"/>
      <c r="D43" s="124">
        <f t="shared" si="6"/>
        <v>0</v>
      </c>
      <c r="E43" s="126"/>
      <c r="F43" s="124">
        <f t="shared" si="7"/>
        <v>0</v>
      </c>
      <c r="AP43" s="94"/>
    </row>
    <row r="44" spans="1:65" x14ac:dyDescent="0.25">
      <c r="A44" s="126"/>
      <c r="B44" s="126"/>
      <c r="C44" s="126"/>
      <c r="D44" s="124">
        <f t="shared" si="6"/>
        <v>0</v>
      </c>
      <c r="E44" s="126"/>
      <c r="F44" s="124">
        <f t="shared" si="7"/>
        <v>0</v>
      </c>
      <c r="AP44" s="94"/>
    </row>
    <row r="45" spans="1:65" x14ac:dyDescent="0.25">
      <c r="A45" s="126"/>
      <c r="B45" s="126"/>
      <c r="C45" s="126"/>
      <c r="D45" s="124">
        <f t="shared" si="6"/>
        <v>0</v>
      </c>
      <c r="E45" s="126"/>
      <c r="F45" s="124">
        <f t="shared" si="7"/>
        <v>0</v>
      </c>
      <c r="AP45" s="94"/>
    </row>
    <row r="46" spans="1:65" x14ac:dyDescent="0.25">
      <c r="A46" s="126"/>
      <c r="B46" s="126"/>
      <c r="C46" s="126"/>
      <c r="D46" s="124">
        <f t="shared" si="6"/>
        <v>0</v>
      </c>
      <c r="E46" s="126"/>
      <c r="F46" s="124">
        <f t="shared" si="7"/>
        <v>0</v>
      </c>
      <c r="AP46" s="94"/>
    </row>
    <row r="47" spans="1:65" x14ac:dyDescent="0.25">
      <c r="A47" s="126"/>
      <c r="B47" s="126"/>
      <c r="C47" s="126"/>
      <c r="D47" s="124">
        <f t="shared" si="6"/>
        <v>0</v>
      </c>
      <c r="E47" s="126"/>
      <c r="F47" s="124">
        <f t="shared" si="7"/>
        <v>0</v>
      </c>
      <c r="AP47" s="94"/>
    </row>
    <row r="48" spans="1:65" x14ac:dyDescent="0.25">
      <c r="A48" s="126"/>
      <c r="B48" s="126"/>
      <c r="C48" s="126"/>
      <c r="D48" s="124">
        <f t="shared" si="6"/>
        <v>0</v>
      </c>
      <c r="E48" s="126"/>
      <c r="F48" s="124">
        <f t="shared" si="7"/>
        <v>0</v>
      </c>
      <c r="AP48" s="94"/>
    </row>
    <row r="49" spans="1:42" x14ac:dyDescent="0.25">
      <c r="A49" s="126"/>
      <c r="B49" s="126"/>
      <c r="C49" s="126"/>
      <c r="D49" s="124">
        <f t="shared" si="6"/>
        <v>0</v>
      </c>
      <c r="E49" s="126"/>
      <c r="F49" s="124">
        <f t="shared" si="7"/>
        <v>0</v>
      </c>
      <c r="AP49" s="94"/>
    </row>
    <row r="50" spans="1:42" x14ac:dyDescent="0.25">
      <c r="A50" s="126"/>
      <c r="B50" s="126"/>
      <c r="C50" s="126"/>
      <c r="D50" s="124">
        <f t="shared" si="6"/>
        <v>0</v>
      </c>
      <c r="E50" s="126"/>
      <c r="F50" s="124">
        <f t="shared" si="7"/>
        <v>0</v>
      </c>
      <c r="AP50" s="94"/>
    </row>
    <row r="51" spans="1:42" x14ac:dyDescent="0.25">
      <c r="A51" s="126"/>
      <c r="B51" s="126"/>
      <c r="C51" s="126"/>
      <c r="D51" s="124">
        <f t="shared" si="6"/>
        <v>0</v>
      </c>
      <c r="E51" s="126"/>
      <c r="F51" s="124">
        <f t="shared" si="7"/>
        <v>0</v>
      </c>
      <c r="AP51" s="94"/>
    </row>
    <row r="52" spans="1:42" x14ac:dyDescent="0.25">
      <c r="A52" s="126"/>
      <c r="B52" s="126"/>
      <c r="C52" s="126"/>
      <c r="D52" s="124">
        <f t="shared" si="6"/>
        <v>0</v>
      </c>
      <c r="E52" s="126"/>
      <c r="F52" s="124">
        <f t="shared" si="7"/>
        <v>0</v>
      </c>
      <c r="AP52" s="94"/>
    </row>
    <row r="53" spans="1:42" x14ac:dyDescent="0.25">
      <c r="A53" s="126"/>
      <c r="B53" s="126"/>
      <c r="C53" s="126"/>
      <c r="D53" s="124">
        <f t="shared" si="6"/>
        <v>0</v>
      </c>
      <c r="E53" s="126"/>
      <c r="F53" s="124">
        <f t="shared" si="7"/>
        <v>0</v>
      </c>
      <c r="AP53" s="94"/>
    </row>
    <row r="54" spans="1:42" x14ac:dyDescent="0.25">
      <c r="A54" s="126"/>
      <c r="B54" s="126"/>
      <c r="C54" s="126"/>
      <c r="D54" s="124">
        <f t="shared" si="6"/>
        <v>0</v>
      </c>
      <c r="E54" s="126"/>
      <c r="F54" s="124">
        <f t="shared" si="7"/>
        <v>0</v>
      </c>
      <c r="AP54" s="94"/>
    </row>
    <row r="55" spans="1:42" x14ac:dyDescent="0.25">
      <c r="A55" s="126"/>
      <c r="B55" s="126"/>
      <c r="C55" s="126"/>
      <c r="D55" s="124">
        <f t="shared" si="6"/>
        <v>0</v>
      </c>
      <c r="E55" s="126"/>
      <c r="F55" s="124">
        <f t="shared" si="7"/>
        <v>0</v>
      </c>
      <c r="AP55" s="94"/>
    </row>
    <row r="56" spans="1:42" x14ac:dyDescent="0.25">
      <c r="A56" s="126"/>
      <c r="B56" s="126"/>
      <c r="C56" s="126"/>
      <c r="D56" s="124">
        <f t="shared" si="6"/>
        <v>0</v>
      </c>
      <c r="E56" s="126"/>
      <c r="F56" s="124">
        <f t="shared" si="7"/>
        <v>0</v>
      </c>
      <c r="AP56" s="94"/>
    </row>
    <row r="57" spans="1:42" x14ac:dyDescent="0.25">
      <c r="A57" s="126"/>
      <c r="B57" s="126"/>
      <c r="C57" s="126"/>
      <c r="D57" s="124">
        <f t="shared" si="6"/>
        <v>0</v>
      </c>
      <c r="E57" s="126"/>
      <c r="F57" s="124">
        <f t="shared" si="7"/>
        <v>0</v>
      </c>
      <c r="AP57" s="94"/>
    </row>
    <row r="58" spans="1:42" x14ac:dyDescent="0.25">
      <c r="A58" s="126"/>
      <c r="B58" s="126"/>
      <c r="C58" s="126"/>
      <c r="D58" s="124">
        <f t="shared" si="6"/>
        <v>0</v>
      </c>
      <c r="E58" s="126"/>
      <c r="F58" s="124">
        <f t="shared" si="7"/>
        <v>0</v>
      </c>
      <c r="AP58" s="94"/>
    </row>
    <row r="59" spans="1:42" x14ac:dyDescent="0.25">
      <c r="A59" s="126"/>
      <c r="B59" s="126"/>
      <c r="C59" s="126"/>
      <c r="D59" s="124">
        <f t="shared" si="6"/>
        <v>0</v>
      </c>
      <c r="E59" s="126"/>
      <c r="F59" s="124">
        <f t="shared" si="7"/>
        <v>0</v>
      </c>
      <c r="AP59" s="94"/>
    </row>
    <row r="60" spans="1:42" x14ac:dyDescent="0.25">
      <c r="A60" s="126"/>
      <c r="B60" s="126"/>
      <c r="C60" s="126"/>
      <c r="D60" s="124">
        <f t="shared" si="6"/>
        <v>0</v>
      </c>
      <c r="E60" s="126"/>
      <c r="F60" s="124">
        <f t="shared" si="7"/>
        <v>0</v>
      </c>
      <c r="AP60" s="94"/>
    </row>
    <row r="61" spans="1:42" x14ac:dyDescent="0.25">
      <c r="A61" s="126"/>
      <c r="B61" s="126"/>
      <c r="C61" s="126"/>
      <c r="D61" s="124">
        <f t="shared" si="6"/>
        <v>0</v>
      </c>
      <c r="E61" s="126"/>
      <c r="F61" s="124">
        <f t="shared" si="7"/>
        <v>0</v>
      </c>
      <c r="AP61" s="94"/>
    </row>
    <row r="62" spans="1:42" x14ac:dyDescent="0.25">
      <c r="A62" s="126"/>
      <c r="B62" s="126"/>
      <c r="C62" s="126"/>
      <c r="D62" s="124">
        <f t="shared" si="6"/>
        <v>0</v>
      </c>
      <c r="E62" s="126"/>
      <c r="F62" s="124">
        <f t="shared" si="7"/>
        <v>0</v>
      </c>
      <c r="AP62" s="94"/>
    </row>
    <row r="63" spans="1:42" x14ac:dyDescent="0.25">
      <c r="A63" s="126"/>
      <c r="B63" s="126"/>
      <c r="C63" s="126"/>
      <c r="D63" s="124">
        <f t="shared" si="6"/>
        <v>0</v>
      </c>
      <c r="E63" s="126"/>
      <c r="F63" s="124">
        <f t="shared" si="7"/>
        <v>0</v>
      </c>
      <c r="AP63" s="94"/>
    </row>
    <row r="64" spans="1:42" x14ac:dyDescent="0.25">
      <c r="A64" s="126"/>
      <c r="B64" s="126"/>
      <c r="C64" s="126"/>
      <c r="D64" s="124">
        <f t="shared" si="6"/>
        <v>0</v>
      </c>
      <c r="E64" s="126"/>
      <c r="F64" s="124">
        <f t="shared" si="7"/>
        <v>0</v>
      </c>
      <c r="AP64" s="94"/>
    </row>
    <row r="65" spans="1:42" x14ac:dyDescent="0.25">
      <c r="A65" s="126"/>
      <c r="B65" s="126"/>
      <c r="C65" s="126"/>
      <c r="D65" s="124">
        <f t="shared" si="6"/>
        <v>0</v>
      </c>
      <c r="E65" s="126"/>
      <c r="F65" s="124">
        <f t="shared" si="7"/>
        <v>0</v>
      </c>
      <c r="AP65" s="94"/>
    </row>
    <row r="66" spans="1:42" x14ac:dyDescent="0.25">
      <c r="A66" s="126"/>
      <c r="B66" s="126"/>
      <c r="C66" s="126"/>
      <c r="D66" s="124">
        <f t="shared" si="6"/>
        <v>0</v>
      </c>
      <c r="E66" s="126"/>
      <c r="F66" s="124">
        <f t="shared" si="7"/>
        <v>0</v>
      </c>
      <c r="AP66" s="94"/>
    </row>
    <row r="67" spans="1:42" x14ac:dyDescent="0.25">
      <c r="A67" s="126"/>
      <c r="B67" s="126"/>
      <c r="C67" s="126"/>
      <c r="D67" s="124">
        <f t="shared" si="6"/>
        <v>0</v>
      </c>
      <c r="E67" s="126"/>
      <c r="F67" s="124">
        <f t="shared" si="7"/>
        <v>0</v>
      </c>
      <c r="AP67" s="94"/>
    </row>
    <row r="68" spans="1:42" x14ac:dyDescent="0.25">
      <c r="A68" s="126"/>
      <c r="B68" s="126"/>
      <c r="C68" s="126"/>
      <c r="D68" s="124">
        <f t="shared" si="6"/>
        <v>0</v>
      </c>
      <c r="E68" s="126"/>
      <c r="F68" s="124">
        <f t="shared" si="7"/>
        <v>0</v>
      </c>
      <c r="AP68" s="94"/>
    </row>
    <row r="69" spans="1:42" x14ac:dyDescent="0.25">
      <c r="A69" s="126"/>
      <c r="B69" s="126"/>
      <c r="C69" s="126"/>
      <c r="D69" s="124">
        <f t="shared" si="6"/>
        <v>0</v>
      </c>
      <c r="E69" s="126"/>
      <c r="F69" s="124">
        <f t="shared" si="7"/>
        <v>0</v>
      </c>
      <c r="AP69" s="94"/>
    </row>
    <row r="70" spans="1:42" x14ac:dyDescent="0.25">
      <c r="A70" s="126"/>
      <c r="B70" s="126"/>
      <c r="C70" s="126"/>
      <c r="D70" s="124">
        <f t="shared" si="6"/>
        <v>0</v>
      </c>
      <c r="E70" s="126"/>
      <c r="F70" s="124">
        <f t="shared" si="7"/>
        <v>0</v>
      </c>
      <c r="AP70" s="94"/>
    </row>
    <row r="71" spans="1:42" x14ac:dyDescent="0.25">
      <c r="A71" s="126"/>
      <c r="B71" s="126"/>
      <c r="C71" s="126"/>
      <c r="D71" s="124">
        <f t="shared" si="6"/>
        <v>0</v>
      </c>
      <c r="E71" s="126"/>
      <c r="F71" s="124">
        <f t="shared" si="7"/>
        <v>0</v>
      </c>
      <c r="AP71" s="94"/>
    </row>
    <row r="72" spans="1:42" x14ac:dyDescent="0.25">
      <c r="A72" s="126"/>
      <c r="B72" s="126"/>
      <c r="C72" s="126"/>
      <c r="D72" s="124">
        <f t="shared" si="6"/>
        <v>0</v>
      </c>
      <c r="E72" s="126"/>
      <c r="F72" s="124">
        <f t="shared" si="7"/>
        <v>0</v>
      </c>
      <c r="AP72" s="94"/>
    </row>
    <row r="73" spans="1:42" x14ac:dyDescent="0.25">
      <c r="A73" s="126"/>
      <c r="B73" s="126"/>
      <c r="C73" s="126"/>
      <c r="D73" s="124">
        <f t="shared" si="6"/>
        <v>0</v>
      </c>
      <c r="E73" s="126"/>
      <c r="F73" s="124">
        <f t="shared" si="7"/>
        <v>0</v>
      </c>
      <c r="AP73" s="94"/>
    </row>
    <row r="74" spans="1:42" x14ac:dyDescent="0.25">
      <c r="A74" s="126"/>
      <c r="B74" s="126"/>
      <c r="C74" s="126"/>
      <c r="D74" s="124">
        <f t="shared" si="6"/>
        <v>0</v>
      </c>
      <c r="E74" s="126"/>
      <c r="F74" s="124">
        <f t="shared" si="7"/>
        <v>0</v>
      </c>
      <c r="AP74" s="94"/>
    </row>
    <row r="75" spans="1:42" x14ac:dyDescent="0.25">
      <c r="A75" s="126"/>
      <c r="B75" s="126"/>
      <c r="C75" s="126"/>
      <c r="D75" s="124">
        <f t="shared" si="6"/>
        <v>0</v>
      </c>
      <c r="E75" s="126"/>
      <c r="F75" s="124">
        <f t="shared" si="7"/>
        <v>0</v>
      </c>
      <c r="AP75" s="94"/>
    </row>
    <row r="76" spans="1:42" x14ac:dyDescent="0.25">
      <c r="A76" s="126"/>
      <c r="B76" s="126"/>
      <c r="C76" s="126"/>
      <c r="D76" s="124">
        <f t="shared" si="6"/>
        <v>0</v>
      </c>
      <c r="E76" s="126"/>
      <c r="F76" s="124">
        <f t="shared" si="7"/>
        <v>0</v>
      </c>
      <c r="AP76" s="94"/>
    </row>
    <row r="77" spans="1:42" x14ac:dyDescent="0.25">
      <c r="AP77" s="94"/>
    </row>
    <row r="78" spans="1:42" x14ac:dyDescent="0.25">
      <c r="AP78" s="94"/>
    </row>
    <row r="79" spans="1:42" x14ac:dyDescent="0.25">
      <c r="AP79" s="94"/>
    </row>
    <row r="80" spans="1:42" x14ac:dyDescent="0.25">
      <c r="AP80" s="94"/>
    </row>
    <row r="81" spans="42:42" x14ac:dyDescent="0.25">
      <c r="AP81" s="94"/>
    </row>
    <row r="82" spans="42:42" x14ac:dyDescent="0.25">
      <c r="AP82" s="94"/>
    </row>
    <row r="83" spans="42:42" x14ac:dyDescent="0.25">
      <c r="AP83" s="94"/>
    </row>
    <row r="84" spans="42:42" x14ac:dyDescent="0.25">
      <c r="AP84" s="94"/>
    </row>
    <row r="85" spans="42:42" x14ac:dyDescent="0.25">
      <c r="AP85" s="94"/>
    </row>
    <row r="86" spans="42:42" x14ac:dyDescent="0.25">
      <c r="AP86" s="94"/>
    </row>
    <row r="87" spans="42:42" x14ac:dyDescent="0.25">
      <c r="AP87" s="94"/>
    </row>
    <row r="88" spans="42:42" x14ac:dyDescent="0.25">
      <c r="AP88" s="94"/>
    </row>
    <row r="89" spans="42:42" x14ac:dyDescent="0.25">
      <c r="AP89" s="94"/>
    </row>
    <row r="90" spans="42:42" x14ac:dyDescent="0.25">
      <c r="AP90" s="94"/>
    </row>
    <row r="91" spans="42:42" x14ac:dyDescent="0.25">
      <c r="AP91" s="94"/>
    </row>
    <row r="92" spans="42:42" x14ac:dyDescent="0.25">
      <c r="AP92" s="94"/>
    </row>
    <row r="93" spans="42:42" x14ac:dyDescent="0.25">
      <c r="AP93" s="94"/>
    </row>
    <row r="94" spans="42:42" x14ac:dyDescent="0.25">
      <c r="AP94" s="94"/>
    </row>
    <row r="95" spans="42:42" x14ac:dyDescent="0.25">
      <c r="AP95" s="94"/>
    </row>
    <row r="96" spans="42:42" x14ac:dyDescent="0.25">
      <c r="AP96" s="94"/>
    </row>
    <row r="97" spans="42:42" x14ac:dyDescent="0.25">
      <c r="AP97" s="94"/>
    </row>
    <row r="98" spans="42:42" x14ac:dyDescent="0.25">
      <c r="AP98" s="94"/>
    </row>
    <row r="99" spans="42:42" x14ac:dyDescent="0.25">
      <c r="AP99" s="94"/>
    </row>
    <row r="100" spans="42:42" x14ac:dyDescent="0.25">
      <c r="AP100" s="94"/>
    </row>
    <row r="101" spans="42:42" x14ac:dyDescent="0.25">
      <c r="AP101" s="94"/>
    </row>
    <row r="102" spans="42:42" x14ac:dyDescent="0.25">
      <c r="AP102" s="94"/>
    </row>
    <row r="103" spans="42:42" x14ac:dyDescent="0.25">
      <c r="AP103" s="94"/>
    </row>
    <row r="104" spans="42:42" x14ac:dyDescent="0.25">
      <c r="AP104" s="94"/>
    </row>
    <row r="105" spans="42:42" x14ac:dyDescent="0.25">
      <c r="AP105" s="94"/>
    </row>
    <row r="106" spans="42:42" x14ac:dyDescent="0.25">
      <c r="AP106" s="94"/>
    </row>
    <row r="107" spans="42:42" x14ac:dyDescent="0.25">
      <c r="AP107" s="94"/>
    </row>
    <row r="108" spans="42:42" x14ac:dyDescent="0.25">
      <c r="AP108" s="94"/>
    </row>
    <row r="109" spans="42:42" x14ac:dyDescent="0.25">
      <c r="AP109" s="94"/>
    </row>
    <row r="110" spans="42:42" x14ac:dyDescent="0.25">
      <c r="AP110" s="94"/>
    </row>
    <row r="111" spans="42:42" x14ac:dyDescent="0.25">
      <c r="AP111" s="94"/>
    </row>
    <row r="112" spans="42:42" x14ac:dyDescent="0.25">
      <c r="AP112" s="94"/>
    </row>
    <row r="113" spans="42:42" x14ac:dyDescent="0.25">
      <c r="AP113" s="94"/>
    </row>
    <row r="114" spans="42:42" x14ac:dyDescent="0.25">
      <c r="AP114" s="94"/>
    </row>
    <row r="115" spans="42:42" x14ac:dyDescent="0.25">
      <c r="AP115" s="94"/>
    </row>
    <row r="116" spans="42:42" x14ac:dyDescent="0.25">
      <c r="AP116" s="94"/>
    </row>
    <row r="117" spans="42:42" x14ac:dyDescent="0.25">
      <c r="AP117" s="94"/>
    </row>
    <row r="118" spans="42:42" x14ac:dyDescent="0.25">
      <c r="AP118" s="94"/>
    </row>
    <row r="119" spans="42:42" x14ac:dyDescent="0.25">
      <c r="AP119" s="94"/>
    </row>
    <row r="120" spans="42:42" x14ac:dyDescent="0.25">
      <c r="AP120" s="94"/>
    </row>
    <row r="121" spans="42:42" x14ac:dyDescent="0.25">
      <c r="AP121" s="94"/>
    </row>
    <row r="122" spans="42:42" x14ac:dyDescent="0.25">
      <c r="AP122" s="94"/>
    </row>
    <row r="123" spans="42:42" x14ac:dyDescent="0.25">
      <c r="AP123" s="94"/>
    </row>
    <row r="124" spans="42:42" x14ac:dyDescent="0.25">
      <c r="AP124" s="94"/>
    </row>
    <row r="125" spans="42:42" x14ac:dyDescent="0.25">
      <c r="AP125" s="94"/>
    </row>
    <row r="126" spans="42:42" x14ac:dyDescent="0.25">
      <c r="AP126" s="94"/>
    </row>
    <row r="127" spans="42:42" x14ac:dyDescent="0.25">
      <c r="AP127" s="94"/>
    </row>
    <row r="128" spans="42:42" x14ac:dyDescent="0.25">
      <c r="AP128" s="94"/>
    </row>
    <row r="129" spans="42:42" x14ac:dyDescent="0.25">
      <c r="AP129" s="94"/>
    </row>
    <row r="130" spans="42:42" x14ac:dyDescent="0.25">
      <c r="AP130" s="94"/>
    </row>
    <row r="131" spans="42:42" x14ac:dyDescent="0.25">
      <c r="AP131" s="94"/>
    </row>
    <row r="132" spans="42:42" x14ac:dyDescent="0.25">
      <c r="AP132" s="94"/>
    </row>
    <row r="133" spans="42:42" x14ac:dyDescent="0.25">
      <c r="AP133" s="94"/>
    </row>
    <row r="134" spans="42:42" x14ac:dyDescent="0.25">
      <c r="AP134" s="94"/>
    </row>
    <row r="135" spans="42:42" x14ac:dyDescent="0.25">
      <c r="AP135" s="94"/>
    </row>
    <row r="136" spans="42:42" x14ac:dyDescent="0.25">
      <c r="AP136" s="94"/>
    </row>
    <row r="137" spans="42:42" x14ac:dyDescent="0.25">
      <c r="AP137" s="94"/>
    </row>
    <row r="138" spans="42:42" x14ac:dyDescent="0.25">
      <c r="AP138" s="94"/>
    </row>
    <row r="139" spans="42:42" x14ac:dyDescent="0.25">
      <c r="AP139" s="94"/>
    </row>
    <row r="140" spans="42:42" x14ac:dyDescent="0.25">
      <c r="AP140" s="94"/>
    </row>
    <row r="141" spans="42:42" x14ac:dyDescent="0.25">
      <c r="AP141" s="94"/>
    </row>
    <row r="142" spans="42:42" x14ac:dyDescent="0.25">
      <c r="AP142" s="94"/>
    </row>
    <row r="143" spans="42:42" x14ac:dyDescent="0.25">
      <c r="AP143" s="94"/>
    </row>
    <row r="144" spans="42:42" x14ac:dyDescent="0.25">
      <c r="AP144" s="94"/>
    </row>
    <row r="145" spans="42:42" x14ac:dyDescent="0.25">
      <c r="AP145" s="94"/>
    </row>
    <row r="146" spans="42:42" x14ac:dyDescent="0.25">
      <c r="AP146" s="94"/>
    </row>
    <row r="147" spans="42:42" x14ac:dyDescent="0.25">
      <c r="AP147" s="94"/>
    </row>
    <row r="148" spans="42:42" x14ac:dyDescent="0.25">
      <c r="AP148" s="94"/>
    </row>
    <row r="149" spans="42:42" x14ac:dyDescent="0.25">
      <c r="AP149" s="94"/>
    </row>
    <row r="150" spans="42:42" x14ac:dyDescent="0.25">
      <c r="AP150" s="94"/>
    </row>
    <row r="151" spans="42:42" x14ac:dyDescent="0.25">
      <c r="AP151" s="94"/>
    </row>
    <row r="152" spans="42:42" x14ac:dyDescent="0.25">
      <c r="AP152" s="94"/>
    </row>
    <row r="153" spans="42:42" x14ac:dyDescent="0.25">
      <c r="AP153" s="94"/>
    </row>
    <row r="154" spans="42:42" x14ac:dyDescent="0.25">
      <c r="AP154" s="94"/>
    </row>
    <row r="155" spans="42:42" x14ac:dyDescent="0.25">
      <c r="AP155" s="94"/>
    </row>
    <row r="156" spans="42:42" x14ac:dyDescent="0.25">
      <c r="AP156" s="94"/>
    </row>
    <row r="157" spans="42:42" x14ac:dyDescent="0.25">
      <c r="AP157" s="94"/>
    </row>
    <row r="158" spans="42:42" x14ac:dyDescent="0.25">
      <c r="AP158" s="94"/>
    </row>
    <row r="159" spans="42:42" x14ac:dyDescent="0.25">
      <c r="AP159" s="94"/>
    </row>
    <row r="160" spans="42:42" x14ac:dyDescent="0.25">
      <c r="AP160" s="94"/>
    </row>
    <row r="161" spans="42:42" x14ac:dyDescent="0.25">
      <c r="AP161" s="94"/>
    </row>
    <row r="162" spans="42:42" x14ac:dyDescent="0.25">
      <c r="AP162" s="94"/>
    </row>
    <row r="163" spans="42:42" x14ac:dyDescent="0.25">
      <c r="AP163" s="94"/>
    </row>
    <row r="164" spans="42:42" x14ac:dyDescent="0.25">
      <c r="AP164" s="94"/>
    </row>
    <row r="165" spans="42:42" x14ac:dyDescent="0.25">
      <c r="AP165" s="94"/>
    </row>
    <row r="166" spans="42:42" x14ac:dyDescent="0.25">
      <c r="AP166" s="94"/>
    </row>
    <row r="167" spans="42:42" x14ac:dyDescent="0.25">
      <c r="AP167" s="94"/>
    </row>
    <row r="168" spans="42:42" x14ac:dyDescent="0.25">
      <c r="AP168" s="94"/>
    </row>
    <row r="169" spans="42:42" x14ac:dyDescent="0.25">
      <c r="AP169" s="94"/>
    </row>
    <row r="170" spans="42:42" x14ac:dyDescent="0.25">
      <c r="AP170" s="94"/>
    </row>
    <row r="171" spans="42:42" x14ac:dyDescent="0.25">
      <c r="AP171" s="94"/>
    </row>
    <row r="172" spans="42:42" x14ac:dyDescent="0.25">
      <c r="AP172" s="94"/>
    </row>
    <row r="173" spans="42:42" x14ac:dyDescent="0.25">
      <c r="AP173" s="94"/>
    </row>
    <row r="174" spans="42:42" x14ac:dyDescent="0.25">
      <c r="AP174" s="94"/>
    </row>
    <row r="175" spans="42:42" x14ac:dyDescent="0.25">
      <c r="AP175" s="94"/>
    </row>
    <row r="176" spans="42:42" x14ac:dyDescent="0.25">
      <c r="AP176" s="94"/>
    </row>
    <row r="177" spans="42:42" x14ac:dyDescent="0.25">
      <c r="AP177" s="94"/>
    </row>
    <row r="178" spans="42:42" x14ac:dyDescent="0.25">
      <c r="AP178" s="94"/>
    </row>
    <row r="179" spans="42:42" x14ac:dyDescent="0.25">
      <c r="AP179" s="94"/>
    </row>
    <row r="180" spans="42:42" x14ac:dyDescent="0.25">
      <c r="AP180" s="94"/>
    </row>
    <row r="181" spans="42:42" x14ac:dyDescent="0.25">
      <c r="AP181" s="94"/>
    </row>
    <row r="182" spans="42:42" x14ac:dyDescent="0.25">
      <c r="AP182" s="94"/>
    </row>
    <row r="183" spans="42:42" x14ac:dyDescent="0.25">
      <c r="AP183" s="94"/>
    </row>
    <row r="184" spans="42:42" x14ac:dyDescent="0.25">
      <c r="AP184" s="94"/>
    </row>
    <row r="185" spans="42:42" x14ac:dyDescent="0.25">
      <c r="AP185" s="94"/>
    </row>
    <row r="186" spans="42:42" x14ac:dyDescent="0.25">
      <c r="AP186" s="94"/>
    </row>
    <row r="187" spans="42:42" x14ac:dyDescent="0.25">
      <c r="AP187" s="94"/>
    </row>
    <row r="188" spans="42:42" x14ac:dyDescent="0.25">
      <c r="AP188" s="94"/>
    </row>
    <row r="189" spans="42:42" x14ac:dyDescent="0.25">
      <c r="AP189" s="94"/>
    </row>
    <row r="190" spans="42:42" x14ac:dyDescent="0.25">
      <c r="AP190" s="94"/>
    </row>
    <row r="191" spans="42:42" x14ac:dyDescent="0.25">
      <c r="AP191" s="94"/>
    </row>
    <row r="192" spans="42:42" x14ac:dyDescent="0.25">
      <c r="AP192" s="94"/>
    </row>
    <row r="193" spans="42:42" x14ac:dyDescent="0.25">
      <c r="AP193" s="94"/>
    </row>
    <row r="194" spans="42:42" x14ac:dyDescent="0.25">
      <c r="AP194" s="94"/>
    </row>
    <row r="195" spans="42:42" x14ac:dyDescent="0.25">
      <c r="AP195" s="94"/>
    </row>
    <row r="196" spans="42:42" x14ac:dyDescent="0.25">
      <c r="AP196" s="94"/>
    </row>
    <row r="197" spans="42:42" x14ac:dyDescent="0.25">
      <c r="AP197" s="94"/>
    </row>
    <row r="198" spans="42:42" x14ac:dyDescent="0.25">
      <c r="AP198" s="94"/>
    </row>
    <row r="199" spans="42:42" x14ac:dyDescent="0.25">
      <c r="AP199" s="94"/>
    </row>
    <row r="200" spans="42:42" x14ac:dyDescent="0.25">
      <c r="AP200" s="94"/>
    </row>
    <row r="201" spans="42:42" x14ac:dyDescent="0.25">
      <c r="AP201" s="94"/>
    </row>
    <row r="202" spans="42:42" x14ac:dyDescent="0.25">
      <c r="AP202" s="94"/>
    </row>
    <row r="203" spans="42:42" x14ac:dyDescent="0.25">
      <c r="AP203" s="94"/>
    </row>
    <row r="204" spans="42:42" x14ac:dyDescent="0.25">
      <c r="AP204" s="94"/>
    </row>
    <row r="205" spans="42:42" x14ac:dyDescent="0.25">
      <c r="AP205" s="94"/>
    </row>
    <row r="206" spans="42:42" x14ac:dyDescent="0.25">
      <c r="AP206" s="94"/>
    </row>
    <row r="207" spans="42:42" x14ac:dyDescent="0.25">
      <c r="AP207" s="94"/>
    </row>
    <row r="208" spans="42:42" x14ac:dyDescent="0.25">
      <c r="AP208" s="94"/>
    </row>
    <row r="209" spans="42:42" x14ac:dyDescent="0.25">
      <c r="AP209" s="94"/>
    </row>
    <row r="210" spans="42:42" x14ac:dyDescent="0.25">
      <c r="AP210" s="94"/>
    </row>
    <row r="211" spans="42:42" x14ac:dyDescent="0.25">
      <c r="AP211" s="94"/>
    </row>
    <row r="212" spans="42:42" x14ac:dyDescent="0.25">
      <c r="AP212" s="94"/>
    </row>
    <row r="213" spans="42:42" x14ac:dyDescent="0.25">
      <c r="AP213" s="94"/>
    </row>
    <row r="214" spans="42:42" x14ac:dyDescent="0.25">
      <c r="AP214" s="94"/>
    </row>
    <row r="215" spans="42:42" x14ac:dyDescent="0.25">
      <c r="AP215" s="94"/>
    </row>
    <row r="216" spans="42:42" x14ac:dyDescent="0.25">
      <c r="AP216" s="94"/>
    </row>
    <row r="217" spans="42:42" x14ac:dyDescent="0.25">
      <c r="AP217" s="94"/>
    </row>
    <row r="218" spans="42:42" x14ac:dyDescent="0.25">
      <c r="AP218" s="94"/>
    </row>
    <row r="219" spans="42:42" x14ac:dyDescent="0.25">
      <c r="AP219" s="94"/>
    </row>
    <row r="220" spans="42:42" x14ac:dyDescent="0.25">
      <c r="AP220" s="94"/>
    </row>
    <row r="221" spans="42:42" x14ac:dyDescent="0.25">
      <c r="AP221" s="94"/>
    </row>
    <row r="222" spans="42:42" x14ac:dyDescent="0.25">
      <c r="AP222" s="94"/>
    </row>
    <row r="223" spans="42:42" x14ac:dyDescent="0.25">
      <c r="AP223" s="94"/>
    </row>
    <row r="224" spans="42:42" x14ac:dyDescent="0.25">
      <c r="AP224" s="94"/>
    </row>
    <row r="225" spans="42:42" x14ac:dyDescent="0.25">
      <c r="AP225" s="94"/>
    </row>
    <row r="226" spans="42:42" x14ac:dyDescent="0.25">
      <c r="AP226" s="94"/>
    </row>
    <row r="227" spans="42:42" x14ac:dyDescent="0.25">
      <c r="AP227" s="94"/>
    </row>
    <row r="228" spans="42:42" x14ac:dyDescent="0.25">
      <c r="AP228" s="94"/>
    </row>
    <row r="229" spans="42:42" x14ac:dyDescent="0.25">
      <c r="AP229" s="94"/>
    </row>
    <row r="230" spans="42:42" x14ac:dyDescent="0.25">
      <c r="AP230" s="94"/>
    </row>
    <row r="231" spans="42:42" x14ac:dyDescent="0.25">
      <c r="AP231" s="94"/>
    </row>
    <row r="232" spans="42:42" x14ac:dyDescent="0.25">
      <c r="AP232" s="94"/>
    </row>
    <row r="233" spans="42:42" x14ac:dyDescent="0.25">
      <c r="AP233" s="94"/>
    </row>
    <row r="234" spans="42:42" x14ac:dyDescent="0.25">
      <c r="AP234" s="94"/>
    </row>
    <row r="235" spans="42:42" x14ac:dyDescent="0.25">
      <c r="AP235" s="94"/>
    </row>
    <row r="236" spans="42:42" x14ac:dyDescent="0.25">
      <c r="AP236" s="94"/>
    </row>
    <row r="237" spans="42:42" x14ac:dyDescent="0.25">
      <c r="AP237" s="94"/>
    </row>
    <row r="238" spans="42:42" x14ac:dyDescent="0.25">
      <c r="AP238" s="94"/>
    </row>
    <row r="239" spans="42:42" x14ac:dyDescent="0.25">
      <c r="AP239" s="94"/>
    </row>
    <row r="240" spans="42:42" x14ac:dyDescent="0.25">
      <c r="AP240" s="94"/>
    </row>
    <row r="241" spans="42:42" x14ac:dyDescent="0.25">
      <c r="AP241" s="94"/>
    </row>
    <row r="242" spans="42:42" x14ac:dyDescent="0.25">
      <c r="AP242" s="94"/>
    </row>
    <row r="243" spans="42:42" x14ac:dyDescent="0.25">
      <c r="AP243" s="94"/>
    </row>
    <row r="244" spans="42:42" x14ac:dyDescent="0.25">
      <c r="AP244" s="94"/>
    </row>
    <row r="245" spans="42:42" x14ac:dyDescent="0.25">
      <c r="AP245" s="94"/>
    </row>
    <row r="246" spans="42:42" x14ac:dyDescent="0.25">
      <c r="AP246" s="94"/>
    </row>
    <row r="247" spans="42:42" x14ac:dyDescent="0.25">
      <c r="AP247" s="94"/>
    </row>
    <row r="248" spans="42:42" x14ac:dyDescent="0.25">
      <c r="AP248" s="94"/>
    </row>
    <row r="249" spans="42:42" x14ac:dyDescent="0.25">
      <c r="AP249" s="94"/>
    </row>
    <row r="250" spans="42:42" x14ac:dyDescent="0.25">
      <c r="AP250" s="94"/>
    </row>
    <row r="251" spans="42:42" x14ac:dyDescent="0.25">
      <c r="AP251" s="94"/>
    </row>
    <row r="252" spans="42:42" x14ac:dyDescent="0.25">
      <c r="AP252" s="94"/>
    </row>
    <row r="253" spans="42:42" x14ac:dyDescent="0.25">
      <c r="AP253" s="94"/>
    </row>
    <row r="254" spans="42:42" x14ac:dyDescent="0.25">
      <c r="AP254" s="94"/>
    </row>
    <row r="255" spans="42:42" x14ac:dyDescent="0.25">
      <c r="AP255" s="94"/>
    </row>
    <row r="256" spans="42:42" x14ac:dyDescent="0.25">
      <c r="AP256" s="94"/>
    </row>
    <row r="257" spans="42:42" x14ac:dyDescent="0.25">
      <c r="AP257" s="94"/>
    </row>
    <row r="258" spans="42:42" x14ac:dyDescent="0.25">
      <c r="AP258" s="94"/>
    </row>
    <row r="259" spans="42:42" x14ac:dyDescent="0.25">
      <c r="AP259" s="94"/>
    </row>
    <row r="260" spans="42:42" x14ac:dyDescent="0.25">
      <c r="AP260" s="94"/>
    </row>
    <row r="261" spans="42:42" x14ac:dyDescent="0.25">
      <c r="AP261" s="94"/>
    </row>
    <row r="262" spans="42:42" x14ac:dyDescent="0.25">
      <c r="AP262" s="94"/>
    </row>
    <row r="263" spans="42:42" x14ac:dyDescent="0.25">
      <c r="AP263" s="94"/>
    </row>
    <row r="264" spans="42:42" x14ac:dyDescent="0.25">
      <c r="AP264" s="94"/>
    </row>
    <row r="265" spans="42:42" x14ac:dyDescent="0.25">
      <c r="AP265" s="94"/>
    </row>
    <row r="266" spans="42:42" x14ac:dyDescent="0.25">
      <c r="AP266" s="94"/>
    </row>
    <row r="267" spans="42:42" x14ac:dyDescent="0.25">
      <c r="AP267" s="94"/>
    </row>
    <row r="268" spans="42:42" x14ac:dyDescent="0.25">
      <c r="AP268" s="94"/>
    </row>
    <row r="269" spans="42:42" x14ac:dyDescent="0.25">
      <c r="AP269" s="94"/>
    </row>
    <row r="270" spans="42:42" x14ac:dyDescent="0.25">
      <c r="AP270" s="94"/>
    </row>
    <row r="271" spans="42:42" x14ac:dyDescent="0.25">
      <c r="AP271" s="94"/>
    </row>
    <row r="272" spans="42:42" x14ac:dyDescent="0.25">
      <c r="AP272" s="94"/>
    </row>
    <row r="273" spans="42:42" x14ac:dyDescent="0.25">
      <c r="AP273" s="94"/>
    </row>
    <row r="274" spans="42:42" x14ac:dyDescent="0.25">
      <c r="AP274" s="94"/>
    </row>
    <row r="275" spans="42:42" x14ac:dyDescent="0.25">
      <c r="AP275" s="94"/>
    </row>
    <row r="276" spans="42:42" x14ac:dyDescent="0.25">
      <c r="AP276" s="94"/>
    </row>
    <row r="277" spans="42:42" x14ac:dyDescent="0.25">
      <c r="AP277" s="94"/>
    </row>
    <row r="278" spans="42:42" x14ac:dyDescent="0.25">
      <c r="AP278" s="94"/>
    </row>
    <row r="279" spans="42:42" x14ac:dyDescent="0.25">
      <c r="AP279" s="94"/>
    </row>
    <row r="280" spans="42:42" x14ac:dyDescent="0.25">
      <c r="AP280" s="94"/>
    </row>
    <row r="281" spans="42:42" x14ac:dyDescent="0.25">
      <c r="AP281" s="94"/>
    </row>
    <row r="282" spans="42:42" x14ac:dyDescent="0.25">
      <c r="AP282" s="94"/>
    </row>
    <row r="283" spans="42:42" x14ac:dyDescent="0.25">
      <c r="AP283" s="94"/>
    </row>
    <row r="284" spans="42:42" x14ac:dyDescent="0.25">
      <c r="AP284" s="94"/>
    </row>
    <row r="285" spans="42:42" x14ac:dyDescent="0.25">
      <c r="AP285" s="94"/>
    </row>
    <row r="286" spans="42:42" x14ac:dyDescent="0.25">
      <c r="AP286" s="94"/>
    </row>
    <row r="287" spans="42:42" x14ac:dyDescent="0.25">
      <c r="AP287" s="94"/>
    </row>
    <row r="288" spans="42:42" x14ac:dyDescent="0.25">
      <c r="AP288" s="94"/>
    </row>
    <row r="289" spans="42:42" x14ac:dyDescent="0.25">
      <c r="AP289" s="94"/>
    </row>
    <row r="290" spans="42:42" x14ac:dyDescent="0.25">
      <c r="AP290" s="94"/>
    </row>
    <row r="291" spans="42:42" x14ac:dyDescent="0.25">
      <c r="AP291" s="94"/>
    </row>
    <row r="292" spans="42:42" x14ac:dyDescent="0.25">
      <c r="AP292" s="94"/>
    </row>
    <row r="293" spans="42:42" x14ac:dyDescent="0.25">
      <c r="AP293" s="94"/>
    </row>
    <row r="294" spans="42:42" x14ac:dyDescent="0.25">
      <c r="AP294" s="94"/>
    </row>
    <row r="295" spans="42:42" x14ac:dyDescent="0.25">
      <c r="AP295" s="94"/>
    </row>
    <row r="296" spans="42:42" x14ac:dyDescent="0.25">
      <c r="AP296" s="94"/>
    </row>
    <row r="297" spans="42:42" x14ac:dyDescent="0.25">
      <c r="AP297" s="94"/>
    </row>
    <row r="298" spans="42:42" x14ac:dyDescent="0.25">
      <c r="AP298" s="94"/>
    </row>
    <row r="299" spans="42:42" x14ac:dyDescent="0.25">
      <c r="AP299" s="94"/>
    </row>
    <row r="300" spans="42:42" x14ac:dyDescent="0.25">
      <c r="AP300" s="94"/>
    </row>
    <row r="301" spans="42:42" x14ac:dyDescent="0.25">
      <c r="AP301" s="94"/>
    </row>
    <row r="302" spans="42:42" x14ac:dyDescent="0.25">
      <c r="AP302" s="94"/>
    </row>
    <row r="303" spans="42:42" x14ac:dyDescent="0.25">
      <c r="AP303" s="94"/>
    </row>
    <row r="304" spans="42:42" x14ac:dyDescent="0.25">
      <c r="AP304" s="94"/>
    </row>
    <row r="305" spans="42:42" x14ac:dyDescent="0.25">
      <c r="AP305" s="94"/>
    </row>
    <row r="306" spans="42:42" x14ac:dyDescent="0.25">
      <c r="AP306" s="94"/>
    </row>
    <row r="307" spans="42:42" x14ac:dyDescent="0.25">
      <c r="AP307" s="94"/>
    </row>
    <row r="308" spans="42:42" x14ac:dyDescent="0.25">
      <c r="AP308" s="94"/>
    </row>
    <row r="309" spans="42:42" x14ac:dyDescent="0.25">
      <c r="AP309" s="94"/>
    </row>
    <row r="310" spans="42:42" x14ac:dyDescent="0.25">
      <c r="AP310" s="94"/>
    </row>
    <row r="311" spans="42:42" x14ac:dyDescent="0.25">
      <c r="AP311" s="94"/>
    </row>
    <row r="312" spans="42:42" x14ac:dyDescent="0.25">
      <c r="AP312" s="94"/>
    </row>
    <row r="313" spans="42:42" x14ac:dyDescent="0.25">
      <c r="AP313" s="94"/>
    </row>
    <row r="314" spans="42:42" x14ac:dyDescent="0.25">
      <c r="AP314" s="94"/>
    </row>
    <row r="315" spans="42:42" x14ac:dyDescent="0.25">
      <c r="AP315" s="94"/>
    </row>
    <row r="316" spans="42:42" x14ac:dyDescent="0.25">
      <c r="AP316" s="94"/>
    </row>
    <row r="317" spans="42:42" x14ac:dyDescent="0.25">
      <c r="AP317" s="94"/>
    </row>
    <row r="318" spans="42:42" x14ac:dyDescent="0.25">
      <c r="AP318" s="94"/>
    </row>
    <row r="319" spans="42:42" x14ac:dyDescent="0.25">
      <c r="AP319" s="94"/>
    </row>
    <row r="320" spans="42:42" x14ac:dyDescent="0.25">
      <c r="AP320" s="94"/>
    </row>
    <row r="321" spans="42:42" x14ac:dyDescent="0.25">
      <c r="AP321" s="94"/>
    </row>
    <row r="322" spans="42:42" x14ac:dyDescent="0.25">
      <c r="AP322" s="94"/>
    </row>
    <row r="323" spans="42:42" x14ac:dyDescent="0.25">
      <c r="AP323" s="94"/>
    </row>
    <row r="324" spans="42:42" x14ac:dyDescent="0.25">
      <c r="AP324" s="94"/>
    </row>
    <row r="325" spans="42:42" x14ac:dyDescent="0.25">
      <c r="AP325" s="94"/>
    </row>
    <row r="326" spans="42:42" x14ac:dyDescent="0.25">
      <c r="AP326" s="94"/>
    </row>
    <row r="327" spans="42:42" x14ac:dyDescent="0.25">
      <c r="AP327" s="94"/>
    </row>
    <row r="328" spans="42:42" x14ac:dyDescent="0.25">
      <c r="AP328" s="94"/>
    </row>
    <row r="329" spans="42:42" x14ac:dyDescent="0.25">
      <c r="AP329" s="94"/>
    </row>
    <row r="330" spans="42:42" x14ac:dyDescent="0.25">
      <c r="AP330" s="94"/>
    </row>
    <row r="331" spans="42:42" x14ac:dyDescent="0.25">
      <c r="AP331" s="94"/>
    </row>
    <row r="332" spans="42:42" x14ac:dyDescent="0.25">
      <c r="AP332" s="94"/>
    </row>
    <row r="333" spans="42:42" x14ac:dyDescent="0.25">
      <c r="AP333" s="94"/>
    </row>
    <row r="334" spans="42:42" x14ac:dyDescent="0.25">
      <c r="AP334" s="94"/>
    </row>
    <row r="335" spans="42:42" x14ac:dyDescent="0.25">
      <c r="AP335" s="94"/>
    </row>
    <row r="336" spans="42:42" x14ac:dyDescent="0.25">
      <c r="AP336" s="94"/>
    </row>
    <row r="337" spans="42:42" x14ac:dyDescent="0.25">
      <c r="AP337" s="94"/>
    </row>
    <row r="338" spans="42:42" x14ac:dyDescent="0.25">
      <c r="AP338" s="94"/>
    </row>
    <row r="339" spans="42:42" x14ac:dyDescent="0.25">
      <c r="AP339" s="94"/>
    </row>
    <row r="340" spans="42:42" x14ac:dyDescent="0.25">
      <c r="AP340" s="94"/>
    </row>
    <row r="341" spans="42:42" x14ac:dyDescent="0.25">
      <c r="AP341" s="94"/>
    </row>
    <row r="342" spans="42:42" x14ac:dyDescent="0.25">
      <c r="AP342" s="94"/>
    </row>
    <row r="343" spans="42:42" x14ac:dyDescent="0.25">
      <c r="AP343" s="94"/>
    </row>
    <row r="344" spans="42:42" x14ac:dyDescent="0.25">
      <c r="AP344" s="94"/>
    </row>
    <row r="345" spans="42:42" x14ac:dyDescent="0.25">
      <c r="AP345" s="94"/>
    </row>
    <row r="346" spans="42:42" x14ac:dyDescent="0.25">
      <c r="AP346" s="94"/>
    </row>
    <row r="347" spans="42:42" x14ac:dyDescent="0.25">
      <c r="AP347" s="94"/>
    </row>
    <row r="348" spans="42:42" x14ac:dyDescent="0.25">
      <c r="AP348" s="94"/>
    </row>
    <row r="349" spans="42:42" x14ac:dyDescent="0.25">
      <c r="AP349" s="94"/>
    </row>
    <row r="350" spans="42:42" x14ac:dyDescent="0.25">
      <c r="AP350" s="94"/>
    </row>
    <row r="351" spans="42:42" x14ac:dyDescent="0.25">
      <c r="AP351" s="94"/>
    </row>
    <row r="352" spans="42:42" x14ac:dyDescent="0.25">
      <c r="AP352" s="94"/>
    </row>
    <row r="353" spans="42:42" x14ac:dyDescent="0.25">
      <c r="AP353" s="94"/>
    </row>
    <row r="354" spans="42:42" x14ac:dyDescent="0.25">
      <c r="AP354" s="94"/>
    </row>
    <row r="355" spans="42:42" x14ac:dyDescent="0.25">
      <c r="AP355" s="94"/>
    </row>
    <row r="356" spans="42:42" x14ac:dyDescent="0.25">
      <c r="AP356" s="94"/>
    </row>
    <row r="357" spans="42:42" x14ac:dyDescent="0.25">
      <c r="AP357" s="94"/>
    </row>
    <row r="358" spans="42:42" x14ac:dyDescent="0.25">
      <c r="AP358" s="94"/>
    </row>
    <row r="359" spans="42:42" x14ac:dyDescent="0.25">
      <c r="AP359" s="94"/>
    </row>
    <row r="360" spans="42:42" x14ac:dyDescent="0.25">
      <c r="AP360" s="94"/>
    </row>
    <row r="361" spans="42:42" x14ac:dyDescent="0.25">
      <c r="AP361" s="94"/>
    </row>
    <row r="362" spans="42:42" x14ac:dyDescent="0.25">
      <c r="AP362" s="94"/>
    </row>
    <row r="363" spans="42:42" x14ac:dyDescent="0.25">
      <c r="AP363" s="94"/>
    </row>
    <row r="364" spans="42:42" x14ac:dyDescent="0.25">
      <c r="AP364" s="94"/>
    </row>
    <row r="365" spans="42:42" x14ac:dyDescent="0.25">
      <c r="AP365" s="94"/>
    </row>
    <row r="366" spans="42:42" x14ac:dyDescent="0.25">
      <c r="AP366" s="94"/>
    </row>
    <row r="367" spans="42:42" x14ac:dyDescent="0.25">
      <c r="AP367" s="94"/>
    </row>
    <row r="368" spans="42:42" x14ac:dyDescent="0.25">
      <c r="AP368" s="94"/>
    </row>
    <row r="369" spans="42:42" x14ac:dyDescent="0.25">
      <c r="AP369" s="94"/>
    </row>
    <row r="370" spans="42:42" x14ac:dyDescent="0.25">
      <c r="AP370" s="94"/>
    </row>
    <row r="371" spans="42:42" x14ac:dyDescent="0.25">
      <c r="AP371" s="94"/>
    </row>
    <row r="372" spans="42:42" x14ac:dyDescent="0.25">
      <c r="AP372" s="94"/>
    </row>
    <row r="373" spans="42:42" x14ac:dyDescent="0.25">
      <c r="AP373" s="94"/>
    </row>
    <row r="374" spans="42:42" x14ac:dyDescent="0.25">
      <c r="AP374" s="94"/>
    </row>
    <row r="375" spans="42:42" x14ac:dyDescent="0.25">
      <c r="AP375" s="94"/>
    </row>
    <row r="376" spans="42:42" x14ac:dyDescent="0.25">
      <c r="AP376" s="94"/>
    </row>
    <row r="377" spans="42:42" x14ac:dyDescent="0.25">
      <c r="AP377" s="94"/>
    </row>
    <row r="378" spans="42:42" x14ac:dyDescent="0.25">
      <c r="AP378" s="94"/>
    </row>
    <row r="379" spans="42:42" x14ac:dyDescent="0.25">
      <c r="AP379" s="94"/>
    </row>
    <row r="380" spans="42:42" x14ac:dyDescent="0.25">
      <c r="AP380" s="94"/>
    </row>
    <row r="381" spans="42:42" x14ac:dyDescent="0.25">
      <c r="AP381" s="94"/>
    </row>
    <row r="382" spans="42:42" x14ac:dyDescent="0.25">
      <c r="AP382" s="94"/>
    </row>
    <row r="383" spans="42:42" x14ac:dyDescent="0.25">
      <c r="AP383" s="94"/>
    </row>
    <row r="384" spans="42:42" x14ac:dyDescent="0.25">
      <c r="AP384" s="94"/>
    </row>
    <row r="385" spans="42:42" x14ac:dyDescent="0.25">
      <c r="AP385" s="94"/>
    </row>
    <row r="386" spans="42:42" x14ac:dyDescent="0.25">
      <c r="AP386" s="94"/>
    </row>
    <row r="387" spans="42:42" x14ac:dyDescent="0.25">
      <c r="AP387" s="94"/>
    </row>
    <row r="388" spans="42:42" x14ac:dyDescent="0.25">
      <c r="AP388" s="94"/>
    </row>
    <row r="389" spans="42:42" x14ac:dyDescent="0.25">
      <c r="AP389" s="94"/>
    </row>
    <row r="390" spans="42:42" x14ac:dyDescent="0.25">
      <c r="AP390" s="94"/>
    </row>
    <row r="391" spans="42:42" x14ac:dyDescent="0.25">
      <c r="AP391" s="94"/>
    </row>
    <row r="392" spans="42:42" x14ac:dyDescent="0.25">
      <c r="AP392" s="94"/>
    </row>
    <row r="393" spans="42:42" x14ac:dyDescent="0.25">
      <c r="AP393" s="94"/>
    </row>
    <row r="394" spans="42:42" x14ac:dyDescent="0.25">
      <c r="AP394" s="94"/>
    </row>
    <row r="395" spans="42:42" x14ac:dyDescent="0.25">
      <c r="AP395" s="94"/>
    </row>
    <row r="396" spans="42:42" x14ac:dyDescent="0.25">
      <c r="AP396" s="94"/>
    </row>
    <row r="397" spans="42:42" x14ac:dyDescent="0.25">
      <c r="AP397" s="94"/>
    </row>
    <row r="398" spans="42:42" x14ac:dyDescent="0.25">
      <c r="AP398" s="94"/>
    </row>
    <row r="399" spans="42:42" x14ac:dyDescent="0.25">
      <c r="AP399" s="94"/>
    </row>
    <row r="400" spans="42:42" x14ac:dyDescent="0.25">
      <c r="AP400" s="94"/>
    </row>
    <row r="401" spans="42:42" x14ac:dyDescent="0.25">
      <c r="AP401" s="94"/>
    </row>
    <row r="402" spans="42:42" x14ac:dyDescent="0.25">
      <c r="AP402" s="94"/>
    </row>
    <row r="403" spans="42:42" x14ac:dyDescent="0.25">
      <c r="AP403" s="94"/>
    </row>
    <row r="404" spans="42:42" x14ac:dyDescent="0.25">
      <c r="AP404" s="94"/>
    </row>
    <row r="405" spans="42:42" x14ac:dyDescent="0.25">
      <c r="AP405" s="94"/>
    </row>
    <row r="406" spans="42:42" x14ac:dyDescent="0.25">
      <c r="AP406" s="94"/>
    </row>
    <row r="407" spans="42:42" x14ac:dyDescent="0.25">
      <c r="AP407" s="94"/>
    </row>
    <row r="408" spans="42:42" x14ac:dyDescent="0.25">
      <c r="AP408" s="94"/>
    </row>
    <row r="409" spans="42:42" x14ac:dyDescent="0.25">
      <c r="AP409" s="94"/>
    </row>
    <row r="410" spans="42:42" x14ac:dyDescent="0.25">
      <c r="AP410" s="94"/>
    </row>
    <row r="411" spans="42:42" x14ac:dyDescent="0.25">
      <c r="AP411" s="94"/>
    </row>
    <row r="412" spans="42:42" x14ac:dyDescent="0.25">
      <c r="AP412" s="94"/>
    </row>
    <row r="413" spans="42:42" x14ac:dyDescent="0.25">
      <c r="AP413" s="94"/>
    </row>
    <row r="414" spans="42:42" x14ac:dyDescent="0.25">
      <c r="AP414" s="94"/>
    </row>
    <row r="415" spans="42:42" x14ac:dyDescent="0.25">
      <c r="AP415" s="94"/>
    </row>
    <row r="416" spans="42:42" x14ac:dyDescent="0.25">
      <c r="AP416" s="94"/>
    </row>
    <row r="417" spans="42:42" x14ac:dyDescent="0.25">
      <c r="AP417" s="94"/>
    </row>
    <row r="418" spans="42:42" x14ac:dyDescent="0.25">
      <c r="AP418" s="94"/>
    </row>
    <row r="419" spans="42:42" x14ac:dyDescent="0.25">
      <c r="AP419" s="94"/>
    </row>
    <row r="420" spans="42:42" x14ac:dyDescent="0.25">
      <c r="AP420" s="94"/>
    </row>
    <row r="421" spans="42:42" x14ac:dyDescent="0.25">
      <c r="AP421" s="94"/>
    </row>
    <row r="422" spans="42:42" x14ac:dyDescent="0.25">
      <c r="AP422" s="94"/>
    </row>
    <row r="423" spans="42:42" x14ac:dyDescent="0.25">
      <c r="AP423" s="94"/>
    </row>
    <row r="424" spans="42:42" x14ac:dyDescent="0.25">
      <c r="AP424" s="94"/>
    </row>
    <row r="425" spans="42:42" x14ac:dyDescent="0.25">
      <c r="AP425" s="94"/>
    </row>
    <row r="426" spans="42:42" x14ac:dyDescent="0.25">
      <c r="AP426" s="94"/>
    </row>
    <row r="427" spans="42:42" x14ac:dyDescent="0.25">
      <c r="AP427" s="94"/>
    </row>
    <row r="428" spans="42:42" x14ac:dyDescent="0.25">
      <c r="AP428" s="94"/>
    </row>
    <row r="429" spans="42:42" x14ac:dyDescent="0.25">
      <c r="AP429" s="94"/>
    </row>
    <row r="430" spans="42:42" x14ac:dyDescent="0.25">
      <c r="AP430" s="94"/>
    </row>
    <row r="431" spans="42:42" x14ac:dyDescent="0.25">
      <c r="AP431" s="94"/>
    </row>
    <row r="432" spans="42:42" x14ac:dyDescent="0.25">
      <c r="AP432" s="94"/>
    </row>
    <row r="433" spans="42:42" x14ac:dyDescent="0.25">
      <c r="AP433" s="94"/>
    </row>
    <row r="434" spans="42:42" x14ac:dyDescent="0.25">
      <c r="AP434" s="94"/>
    </row>
    <row r="435" spans="42:42" x14ac:dyDescent="0.25">
      <c r="AP435" s="94"/>
    </row>
    <row r="436" spans="42:42" x14ac:dyDescent="0.25">
      <c r="AP436" s="94"/>
    </row>
    <row r="437" spans="42:42" x14ac:dyDescent="0.25">
      <c r="AP437" s="94"/>
    </row>
    <row r="438" spans="42:42" x14ac:dyDescent="0.25">
      <c r="AP438" s="94"/>
    </row>
    <row r="439" spans="42:42" x14ac:dyDescent="0.25">
      <c r="AP439" s="94"/>
    </row>
    <row r="440" spans="42:42" x14ac:dyDescent="0.25">
      <c r="AP440" s="94"/>
    </row>
    <row r="441" spans="42:42" x14ac:dyDescent="0.25">
      <c r="AP441" s="94"/>
    </row>
    <row r="442" spans="42:42" x14ac:dyDescent="0.25">
      <c r="AP442" s="94"/>
    </row>
    <row r="443" spans="42:42" x14ac:dyDescent="0.25">
      <c r="AP443" s="94"/>
    </row>
    <row r="444" spans="42:42" x14ac:dyDescent="0.25">
      <c r="AP444" s="94"/>
    </row>
    <row r="445" spans="42:42" x14ac:dyDescent="0.25">
      <c r="AP445" s="94"/>
    </row>
    <row r="446" spans="42:42" x14ac:dyDescent="0.25">
      <c r="AP446" s="94"/>
    </row>
    <row r="447" spans="42:42" x14ac:dyDescent="0.25">
      <c r="AP447" s="94"/>
    </row>
    <row r="448" spans="42:42" x14ac:dyDescent="0.25">
      <c r="AP448" s="94"/>
    </row>
    <row r="449" spans="42:42" x14ac:dyDescent="0.25">
      <c r="AP449" s="94"/>
    </row>
    <row r="450" spans="42:42" x14ac:dyDescent="0.25">
      <c r="AP450" s="94"/>
    </row>
    <row r="451" spans="42:42" x14ac:dyDescent="0.25">
      <c r="AP451" s="94"/>
    </row>
    <row r="452" spans="42:42" x14ac:dyDescent="0.25">
      <c r="AP452" s="94"/>
    </row>
    <row r="453" spans="42:42" x14ac:dyDescent="0.25">
      <c r="AP453" s="94"/>
    </row>
    <row r="454" spans="42:42" x14ac:dyDescent="0.25">
      <c r="AP454" s="94"/>
    </row>
    <row r="455" spans="42:42" x14ac:dyDescent="0.25">
      <c r="AP455" s="94"/>
    </row>
    <row r="456" spans="42:42" x14ac:dyDescent="0.25">
      <c r="AP456" s="94"/>
    </row>
    <row r="457" spans="42:42" x14ac:dyDescent="0.25">
      <c r="AP457" s="94"/>
    </row>
    <row r="458" spans="42:42" x14ac:dyDescent="0.25">
      <c r="AP458" s="94"/>
    </row>
    <row r="459" spans="42:42" x14ac:dyDescent="0.25">
      <c r="AP459" s="94"/>
    </row>
    <row r="460" spans="42:42" x14ac:dyDescent="0.25">
      <c r="AP460" s="94"/>
    </row>
    <row r="461" spans="42:42" x14ac:dyDescent="0.25">
      <c r="AP461" s="94"/>
    </row>
    <row r="462" spans="42:42" x14ac:dyDescent="0.25">
      <c r="AP462" s="94"/>
    </row>
    <row r="463" spans="42:42" x14ac:dyDescent="0.25">
      <c r="AP463" s="94"/>
    </row>
    <row r="464" spans="42:42" x14ac:dyDescent="0.25">
      <c r="AP464" s="94"/>
    </row>
    <row r="465" spans="42:42" x14ac:dyDescent="0.25">
      <c r="AP465" s="94"/>
    </row>
    <row r="466" spans="42:42" x14ac:dyDescent="0.25">
      <c r="AP466" s="94"/>
    </row>
    <row r="467" spans="42:42" x14ac:dyDescent="0.25">
      <c r="AP467" s="94"/>
    </row>
    <row r="468" spans="42:42" x14ac:dyDescent="0.25">
      <c r="AP468" s="94"/>
    </row>
    <row r="469" spans="42:42" x14ac:dyDescent="0.25">
      <c r="AP469" s="94"/>
    </row>
    <row r="470" spans="42:42" x14ac:dyDescent="0.25">
      <c r="AP470" s="94"/>
    </row>
    <row r="471" spans="42:42" x14ac:dyDescent="0.25">
      <c r="AP471" s="94"/>
    </row>
    <row r="472" spans="42:42" x14ac:dyDescent="0.25">
      <c r="AP472" s="94"/>
    </row>
    <row r="473" spans="42:42" x14ac:dyDescent="0.25">
      <c r="AP473" s="94"/>
    </row>
    <row r="474" spans="42:42" x14ac:dyDescent="0.25">
      <c r="AP474" s="94"/>
    </row>
    <row r="475" spans="42:42" x14ac:dyDescent="0.25">
      <c r="AP475" s="94"/>
    </row>
    <row r="476" spans="42:42" x14ac:dyDescent="0.25">
      <c r="AP476" s="94"/>
    </row>
    <row r="477" spans="42:42" x14ac:dyDescent="0.25">
      <c r="AP477" s="94"/>
    </row>
    <row r="478" spans="42:42" x14ac:dyDescent="0.25">
      <c r="AP478" s="94"/>
    </row>
    <row r="479" spans="42:42" x14ac:dyDescent="0.25">
      <c r="AP479" s="94"/>
    </row>
    <row r="480" spans="42:42" x14ac:dyDescent="0.25">
      <c r="AP480" s="94"/>
    </row>
    <row r="481" spans="42:42" x14ac:dyDescent="0.25">
      <c r="AP481" s="94"/>
    </row>
    <row r="482" spans="42:42" x14ac:dyDescent="0.25">
      <c r="AP482" s="94"/>
    </row>
    <row r="483" spans="42:42" x14ac:dyDescent="0.25">
      <c r="AP483" s="94"/>
    </row>
    <row r="484" spans="42:42" x14ac:dyDescent="0.25">
      <c r="AP484" s="94"/>
    </row>
    <row r="485" spans="42:42" x14ac:dyDescent="0.25">
      <c r="AP485" s="94"/>
    </row>
    <row r="486" spans="42:42" x14ac:dyDescent="0.25">
      <c r="AP486" s="94"/>
    </row>
    <row r="487" spans="42:42" x14ac:dyDescent="0.25">
      <c r="AP487" s="94"/>
    </row>
    <row r="488" spans="42:42" x14ac:dyDescent="0.25">
      <c r="AP488" s="94"/>
    </row>
    <row r="489" spans="42:42" x14ac:dyDescent="0.25">
      <c r="AP489" s="94"/>
    </row>
    <row r="490" spans="42:42" x14ac:dyDescent="0.25">
      <c r="AP490" s="94"/>
    </row>
    <row r="491" spans="42:42" x14ac:dyDescent="0.25">
      <c r="AP491" s="94"/>
    </row>
    <row r="492" spans="42:42" x14ac:dyDescent="0.25">
      <c r="AP492" s="94"/>
    </row>
    <row r="493" spans="42:42" x14ac:dyDescent="0.25">
      <c r="AP493" s="94"/>
    </row>
    <row r="494" spans="42:42" x14ac:dyDescent="0.25">
      <c r="AP494" s="94"/>
    </row>
    <row r="495" spans="42:42" x14ac:dyDescent="0.25">
      <c r="AP495" s="94"/>
    </row>
    <row r="496" spans="42:42" x14ac:dyDescent="0.25">
      <c r="AP496" s="94"/>
    </row>
    <row r="497" spans="42:42" x14ac:dyDescent="0.25">
      <c r="AP497" s="94"/>
    </row>
    <row r="498" spans="42:42" x14ac:dyDescent="0.25">
      <c r="AP498" s="94"/>
    </row>
    <row r="499" spans="42:42" x14ac:dyDescent="0.25">
      <c r="AP499" s="94"/>
    </row>
    <row r="500" spans="42:42" x14ac:dyDescent="0.25">
      <c r="AP500" s="94"/>
    </row>
    <row r="501" spans="42:42" x14ac:dyDescent="0.25">
      <c r="AP501" s="94"/>
    </row>
    <row r="502" spans="42:42" x14ac:dyDescent="0.25">
      <c r="AP502" s="94"/>
    </row>
    <row r="503" spans="42:42" x14ac:dyDescent="0.25">
      <c r="AP503" s="94"/>
    </row>
    <row r="504" spans="42:42" x14ac:dyDescent="0.25">
      <c r="AP504" s="94"/>
    </row>
    <row r="505" spans="42:42" x14ac:dyDescent="0.25">
      <c r="AP505" s="94"/>
    </row>
    <row r="506" spans="42:42" x14ac:dyDescent="0.25">
      <c r="AP506" s="94"/>
    </row>
    <row r="507" spans="42:42" x14ac:dyDescent="0.25">
      <c r="AP507" s="94"/>
    </row>
    <row r="508" spans="42:42" x14ac:dyDescent="0.25">
      <c r="AP508" s="94"/>
    </row>
    <row r="509" spans="42:42" x14ac:dyDescent="0.25">
      <c r="AP509" s="94"/>
    </row>
    <row r="510" spans="42:42" x14ac:dyDescent="0.25">
      <c r="AP510" s="94"/>
    </row>
    <row r="511" spans="42:42" x14ac:dyDescent="0.25">
      <c r="AP511" s="94"/>
    </row>
    <row r="512" spans="42:42" x14ac:dyDescent="0.25">
      <c r="AP512" s="94"/>
    </row>
    <row r="513" spans="42:42" x14ac:dyDescent="0.25">
      <c r="AP513" s="94"/>
    </row>
    <row r="514" spans="42:42" x14ac:dyDescent="0.25">
      <c r="AP514" s="94"/>
    </row>
    <row r="515" spans="42:42" x14ac:dyDescent="0.25">
      <c r="AP515" s="94"/>
    </row>
    <row r="516" spans="42:42" x14ac:dyDescent="0.25">
      <c r="AP516" s="94"/>
    </row>
    <row r="517" spans="42:42" x14ac:dyDescent="0.25">
      <c r="AP517" s="94"/>
    </row>
    <row r="518" spans="42:42" x14ac:dyDescent="0.25">
      <c r="AP518" s="94"/>
    </row>
    <row r="519" spans="42:42" x14ac:dyDescent="0.25">
      <c r="AP519" s="94"/>
    </row>
    <row r="520" spans="42:42" x14ac:dyDescent="0.25">
      <c r="AP520" s="94"/>
    </row>
    <row r="521" spans="42:42" x14ac:dyDescent="0.25">
      <c r="AP521" s="94"/>
    </row>
    <row r="522" spans="42:42" x14ac:dyDescent="0.25">
      <c r="AP522" s="94"/>
    </row>
    <row r="523" spans="42:42" x14ac:dyDescent="0.25">
      <c r="AP523" s="94"/>
    </row>
    <row r="524" spans="42:42" x14ac:dyDescent="0.25">
      <c r="AP524" s="94"/>
    </row>
    <row r="525" spans="42:42" x14ac:dyDescent="0.25">
      <c r="AP525" s="94"/>
    </row>
    <row r="526" spans="42:42" x14ac:dyDescent="0.25">
      <c r="AP526" s="94"/>
    </row>
    <row r="527" spans="42:42" x14ac:dyDescent="0.25">
      <c r="AP527" s="94"/>
    </row>
    <row r="528" spans="42:42" x14ac:dyDescent="0.25">
      <c r="AP528" s="94"/>
    </row>
    <row r="529" spans="42:42" x14ac:dyDescent="0.25">
      <c r="AP529" s="94"/>
    </row>
    <row r="530" spans="42:42" x14ac:dyDescent="0.25">
      <c r="AP530" s="94"/>
    </row>
    <row r="531" spans="42:42" x14ac:dyDescent="0.25">
      <c r="AP531" s="94"/>
    </row>
    <row r="532" spans="42:42" x14ac:dyDescent="0.25">
      <c r="AP532" s="94"/>
    </row>
    <row r="533" spans="42:42" x14ac:dyDescent="0.25">
      <c r="AP533" s="94"/>
    </row>
    <row r="534" spans="42:42" x14ac:dyDescent="0.25">
      <c r="AP534" s="94"/>
    </row>
    <row r="535" spans="42:42" x14ac:dyDescent="0.25">
      <c r="AP535" s="94"/>
    </row>
    <row r="536" spans="42:42" x14ac:dyDescent="0.25">
      <c r="AP536" s="94"/>
    </row>
    <row r="537" spans="42:42" x14ac:dyDescent="0.25">
      <c r="AP537" s="94"/>
    </row>
    <row r="538" spans="42:42" x14ac:dyDescent="0.25">
      <c r="AP538" s="94"/>
    </row>
    <row r="539" spans="42:42" x14ac:dyDescent="0.25">
      <c r="AP539" s="94"/>
    </row>
    <row r="540" spans="42:42" x14ac:dyDescent="0.25">
      <c r="AP540" s="94"/>
    </row>
    <row r="541" spans="42:42" x14ac:dyDescent="0.25">
      <c r="AP541" s="94"/>
    </row>
    <row r="542" spans="42:42" x14ac:dyDescent="0.25">
      <c r="AP542" s="94"/>
    </row>
    <row r="543" spans="42:42" x14ac:dyDescent="0.25">
      <c r="AP543" s="94"/>
    </row>
    <row r="544" spans="42:42" x14ac:dyDescent="0.25">
      <c r="AP544" s="94"/>
    </row>
    <row r="545" spans="42:42" x14ac:dyDescent="0.25">
      <c r="AP545" s="94"/>
    </row>
    <row r="546" spans="42:42" x14ac:dyDescent="0.25">
      <c r="AP546" s="94"/>
    </row>
  </sheetData>
  <mergeCells count="12">
    <mergeCell ref="X1:AC1"/>
    <mergeCell ref="AD1:AI1"/>
    <mergeCell ref="J1:O1"/>
    <mergeCell ref="A1:B1"/>
    <mergeCell ref="C1:H1"/>
    <mergeCell ref="P1:U1"/>
    <mergeCell ref="V1:W1"/>
    <mergeCell ref="AJ1:AO1"/>
    <mergeCell ref="AP1:AU1"/>
    <mergeCell ref="AV1:BA1"/>
    <mergeCell ref="BB1:BG1"/>
    <mergeCell ref="BH1:BM1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AD65-E376-46D8-AF94-5249F17D033B}">
  <dimension ref="A1:BG136"/>
  <sheetViews>
    <sheetView topLeftCell="B102" workbookViewId="0">
      <selection activeCell="F108" sqref="F108"/>
    </sheetView>
  </sheetViews>
  <sheetFormatPr defaultRowHeight="15" x14ac:dyDescent="0.25"/>
  <cols>
    <col min="1" max="1" width="28.28515625" bestFit="1" customWidth="1"/>
    <col min="2" max="2" width="41.140625" bestFit="1" customWidth="1"/>
    <col min="3" max="3" width="22.5703125" bestFit="1" customWidth="1"/>
    <col min="4" max="4" width="7.85546875" bestFit="1" customWidth="1"/>
    <col min="5" max="5" width="15.140625" bestFit="1" customWidth="1"/>
    <col min="6" max="6" width="18.85546875" bestFit="1" customWidth="1"/>
    <col min="7" max="7" width="6.28515625" customWidth="1"/>
    <col min="8" max="8" width="6.28515625" bestFit="1" customWidth="1"/>
    <col min="9" max="9" width="16.28515625" bestFit="1" customWidth="1"/>
    <col min="10" max="15" width="6.28515625" bestFit="1" customWidth="1"/>
    <col min="16" max="16" width="15.140625" hidden="1" customWidth="1"/>
    <col min="17" max="17" width="13.85546875" hidden="1" customWidth="1"/>
    <col min="18" max="35" width="7.42578125" hidden="1" customWidth="1"/>
    <col min="36" max="41" width="10.28515625" bestFit="1" customWidth="1"/>
    <col min="42" max="53" width="11.42578125" bestFit="1" customWidth="1"/>
    <col min="54" max="55" width="15.5703125" bestFit="1" customWidth="1"/>
    <col min="56" max="59" width="14.42578125" bestFit="1" customWidth="1"/>
  </cols>
  <sheetData>
    <row r="1" spans="1:59" ht="15.75" thickBot="1" x14ac:dyDescent="0.3">
      <c r="A1" s="197"/>
      <c r="B1" s="199"/>
      <c r="C1" s="197" t="s">
        <v>130</v>
      </c>
      <c r="D1" s="198"/>
      <c r="E1" s="198"/>
      <c r="F1" s="198"/>
      <c r="G1" s="198"/>
      <c r="H1" s="199"/>
      <c r="I1" s="7" t="s">
        <v>175</v>
      </c>
      <c r="J1" s="197" t="s">
        <v>176</v>
      </c>
      <c r="K1" s="198"/>
      <c r="L1" s="198"/>
      <c r="M1" s="198"/>
      <c r="N1" s="198"/>
      <c r="O1" s="199"/>
      <c r="P1" s="197" t="s">
        <v>133</v>
      </c>
      <c r="Q1" s="199"/>
      <c r="R1" s="197" t="s">
        <v>134</v>
      </c>
      <c r="S1" s="198"/>
      <c r="T1" s="198"/>
      <c r="U1" s="198"/>
      <c r="V1" s="198"/>
      <c r="W1" s="199"/>
      <c r="X1" s="197" t="s">
        <v>135</v>
      </c>
      <c r="Y1" s="198"/>
      <c r="Z1" s="198"/>
      <c r="AA1" s="198"/>
      <c r="AB1" s="198"/>
      <c r="AC1" s="199"/>
      <c r="AD1" s="197" t="s">
        <v>136</v>
      </c>
      <c r="AE1" s="198"/>
      <c r="AF1" s="198"/>
      <c r="AG1" s="198"/>
      <c r="AH1" s="198"/>
      <c r="AI1" s="199"/>
      <c r="AJ1" s="197" t="s">
        <v>177</v>
      </c>
      <c r="AK1" s="198"/>
      <c r="AL1" s="198"/>
      <c r="AM1" s="198"/>
      <c r="AN1" s="198"/>
      <c r="AO1" s="199"/>
      <c r="AP1" s="197" t="s">
        <v>138</v>
      </c>
      <c r="AQ1" s="198"/>
      <c r="AR1" s="198"/>
      <c r="AS1" s="198"/>
      <c r="AT1" s="198"/>
      <c r="AU1" s="199"/>
      <c r="AV1" s="197" t="s">
        <v>139</v>
      </c>
      <c r="AW1" s="198"/>
      <c r="AX1" s="198"/>
      <c r="AY1" s="198"/>
      <c r="AZ1" s="198"/>
      <c r="BA1" s="199"/>
      <c r="BB1" s="197" t="s">
        <v>140</v>
      </c>
      <c r="BC1" s="198"/>
      <c r="BD1" s="198"/>
      <c r="BE1" s="198"/>
      <c r="BF1" s="198"/>
      <c r="BG1" s="199"/>
    </row>
    <row r="2" spans="1:59" ht="15.75" thickBot="1" x14ac:dyDescent="0.3">
      <c r="A2" s="7" t="s">
        <v>141</v>
      </c>
      <c r="B2" s="7" t="s">
        <v>142</v>
      </c>
      <c r="C2" s="7">
        <v>2025</v>
      </c>
      <c r="D2" s="7">
        <v>2026</v>
      </c>
      <c r="E2" s="7">
        <v>2027</v>
      </c>
      <c r="F2" s="7">
        <v>2028</v>
      </c>
      <c r="G2" s="7">
        <v>2029</v>
      </c>
      <c r="H2" s="7">
        <v>2030</v>
      </c>
      <c r="I2" s="7" t="s">
        <v>143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 t="s">
        <v>144</v>
      </c>
      <c r="Q2" s="7" t="s">
        <v>145</v>
      </c>
      <c r="R2" s="7">
        <v>2025</v>
      </c>
      <c r="S2" s="7">
        <v>2026</v>
      </c>
      <c r="T2" s="7">
        <v>2027</v>
      </c>
      <c r="U2" s="7">
        <v>2028</v>
      </c>
      <c r="V2" s="7">
        <v>2029</v>
      </c>
      <c r="W2" s="7">
        <v>2030</v>
      </c>
      <c r="X2" s="7">
        <v>2025</v>
      </c>
      <c r="Y2" s="7">
        <v>2026</v>
      </c>
      <c r="Z2" s="7">
        <v>2027</v>
      </c>
      <c r="AA2" s="7">
        <v>2028</v>
      </c>
      <c r="AB2" s="7">
        <v>2029</v>
      </c>
      <c r="AC2" s="7">
        <v>2030</v>
      </c>
      <c r="AD2" s="7">
        <v>2025</v>
      </c>
      <c r="AE2" s="7">
        <v>2026</v>
      </c>
      <c r="AF2" s="7">
        <v>2027</v>
      </c>
      <c r="AG2" s="7">
        <v>2028</v>
      </c>
      <c r="AH2" s="7">
        <v>2029</v>
      </c>
      <c r="AI2" s="7">
        <v>2030</v>
      </c>
      <c r="AJ2" s="7">
        <v>2025</v>
      </c>
      <c r="AK2" s="7">
        <v>2026</v>
      </c>
      <c r="AL2" s="7">
        <v>2027</v>
      </c>
      <c r="AM2" s="7">
        <v>2028</v>
      </c>
      <c r="AN2" s="7">
        <v>2029</v>
      </c>
      <c r="AO2" s="7">
        <v>2030</v>
      </c>
      <c r="AP2" s="7">
        <v>2025</v>
      </c>
      <c r="AQ2" s="7">
        <v>2026</v>
      </c>
      <c r="AR2" s="7">
        <v>2027</v>
      </c>
      <c r="AS2" s="7">
        <v>2028</v>
      </c>
      <c r="AT2" s="7">
        <v>2029</v>
      </c>
      <c r="AU2" s="7">
        <v>2030</v>
      </c>
      <c r="AV2" s="7">
        <v>2025</v>
      </c>
      <c r="AW2" s="7">
        <v>2026</v>
      </c>
      <c r="AX2" s="7">
        <v>2027</v>
      </c>
      <c r="AY2" s="7">
        <v>2028</v>
      </c>
      <c r="AZ2" s="7">
        <v>2029</v>
      </c>
      <c r="BA2" s="7">
        <v>2030</v>
      </c>
      <c r="BB2" s="7">
        <v>2025</v>
      </c>
      <c r="BC2" s="7">
        <v>2026</v>
      </c>
      <c r="BD2" s="7">
        <v>2027</v>
      </c>
      <c r="BE2" s="7">
        <v>2028</v>
      </c>
      <c r="BF2" s="7">
        <v>2029</v>
      </c>
      <c r="BG2" s="7">
        <v>2030</v>
      </c>
    </row>
    <row r="3" spans="1:59" ht="15.75" thickBot="1" x14ac:dyDescent="0.3">
      <c r="A3" s="7" t="s">
        <v>146</v>
      </c>
      <c r="B3" s="7"/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9">
        <v>2</v>
      </c>
      <c r="J3" s="10">
        <v>0.69</v>
      </c>
      <c r="K3" s="10">
        <v>0.56999999999999995</v>
      </c>
      <c r="L3" s="10">
        <v>0.54</v>
      </c>
      <c r="M3" s="10">
        <v>0.51</v>
      </c>
      <c r="N3" s="10">
        <v>0.5</v>
      </c>
      <c r="O3" s="10">
        <v>0.47</v>
      </c>
      <c r="P3" s="11">
        <v>85</v>
      </c>
      <c r="Q3" s="11">
        <v>0</v>
      </c>
      <c r="R3" s="12">
        <v>85</v>
      </c>
      <c r="S3" s="12">
        <v>85</v>
      </c>
      <c r="T3" s="12">
        <v>85</v>
      </c>
      <c r="U3" s="12">
        <v>85</v>
      </c>
      <c r="V3" s="12">
        <v>85</v>
      </c>
      <c r="W3" s="12">
        <v>85</v>
      </c>
      <c r="X3" s="13">
        <v>34.229999999999997</v>
      </c>
      <c r="Y3" s="13">
        <v>28.44</v>
      </c>
      <c r="Z3" s="13">
        <v>26.93</v>
      </c>
      <c r="AA3" s="13">
        <v>25.66</v>
      </c>
      <c r="AB3" s="13">
        <v>24.62</v>
      </c>
      <c r="AC3" s="13">
        <v>23.67</v>
      </c>
      <c r="AD3" s="14">
        <v>29.1</v>
      </c>
      <c r="AE3" s="14">
        <v>24.17</v>
      </c>
      <c r="AF3" s="14">
        <v>22.89</v>
      </c>
      <c r="AG3" s="14">
        <v>21.81</v>
      </c>
      <c r="AH3" s="14">
        <v>20.93</v>
      </c>
      <c r="AI3" s="14">
        <v>20.12</v>
      </c>
      <c r="AJ3" s="15">
        <v>3524.6</v>
      </c>
      <c r="AK3" s="15">
        <v>3277.58</v>
      </c>
      <c r="AL3" s="15">
        <v>3104.82</v>
      </c>
      <c r="AM3" s="15">
        <v>2968.31</v>
      </c>
      <c r="AN3" s="15">
        <v>2835.29</v>
      </c>
      <c r="AO3" s="15">
        <v>2749.1</v>
      </c>
      <c r="AP3" s="16">
        <v>10296.9</v>
      </c>
      <c r="AQ3" s="16">
        <v>11526</v>
      </c>
      <c r="AR3" s="16">
        <v>11531.1</v>
      </c>
      <c r="AS3" s="16">
        <v>11566.8</v>
      </c>
      <c r="AT3" s="16">
        <v>11515.8</v>
      </c>
      <c r="AU3" s="16">
        <v>11612.7</v>
      </c>
      <c r="AV3" s="17">
        <v>12114</v>
      </c>
      <c r="AW3" s="17">
        <v>13560</v>
      </c>
      <c r="AX3" s="17">
        <v>13566</v>
      </c>
      <c r="AY3" s="17">
        <v>13608</v>
      </c>
      <c r="AZ3" s="17">
        <v>13548</v>
      </c>
      <c r="BA3" s="17">
        <v>13662</v>
      </c>
      <c r="BB3" s="18">
        <v>15593561</v>
      </c>
      <c r="BC3" s="18">
        <v>10258868</v>
      </c>
      <c r="BD3" s="18">
        <v>9263588</v>
      </c>
      <c r="BE3" s="18">
        <v>8313147</v>
      </c>
      <c r="BF3" s="18">
        <v>7364261</v>
      </c>
      <c r="BG3" s="18">
        <v>6893340</v>
      </c>
    </row>
    <row r="4" spans="1:59" ht="15.75" thickBot="1" x14ac:dyDescent="0.3">
      <c r="A4" s="19" t="s">
        <v>417</v>
      </c>
      <c r="B4" s="19" t="s">
        <v>418</v>
      </c>
      <c r="C4" s="20">
        <v>1</v>
      </c>
      <c r="D4" s="20">
        <v>1</v>
      </c>
      <c r="E4" s="20">
        <v>1</v>
      </c>
      <c r="F4" s="20">
        <v>1</v>
      </c>
      <c r="G4" s="20">
        <v>1</v>
      </c>
      <c r="H4" s="20">
        <v>1</v>
      </c>
      <c r="I4" s="21">
        <v>2</v>
      </c>
      <c r="J4" s="22">
        <v>0.69</v>
      </c>
      <c r="K4" s="22">
        <v>0.56999999999999995</v>
      </c>
      <c r="L4" s="22">
        <v>0.54</v>
      </c>
      <c r="M4" s="22">
        <v>0.51</v>
      </c>
      <c r="N4" s="22">
        <v>0.5</v>
      </c>
      <c r="O4" s="22">
        <v>0.47</v>
      </c>
      <c r="P4" s="23">
        <v>85</v>
      </c>
      <c r="Q4" s="23">
        <v>0</v>
      </c>
      <c r="R4" s="24">
        <v>85</v>
      </c>
      <c r="S4" s="24">
        <v>85</v>
      </c>
      <c r="T4" s="24">
        <v>85</v>
      </c>
      <c r="U4" s="24">
        <v>85</v>
      </c>
      <c r="V4" s="24">
        <v>85</v>
      </c>
      <c r="W4" s="24">
        <v>85</v>
      </c>
      <c r="X4" s="25">
        <v>0.52</v>
      </c>
      <c r="Y4" s="25">
        <v>0.46</v>
      </c>
      <c r="Z4" s="25">
        <v>0.38</v>
      </c>
      <c r="AA4" s="25">
        <v>0.31</v>
      </c>
      <c r="AB4" s="25">
        <v>0.24</v>
      </c>
      <c r="AC4" s="25">
        <v>0.2</v>
      </c>
      <c r="AD4" s="26">
        <v>0.44</v>
      </c>
      <c r="AE4" s="26">
        <v>0.39</v>
      </c>
      <c r="AF4" s="26">
        <v>0.32</v>
      </c>
      <c r="AG4" s="26">
        <v>0.26</v>
      </c>
      <c r="AH4" s="26">
        <v>0.2</v>
      </c>
      <c r="AI4" s="26">
        <v>0.17</v>
      </c>
      <c r="AJ4" s="27">
        <v>53.14</v>
      </c>
      <c r="AK4" s="27">
        <v>52.74</v>
      </c>
      <c r="AL4" s="27">
        <v>43.95</v>
      </c>
      <c r="AM4" s="27">
        <v>35.4</v>
      </c>
      <c r="AN4" s="27">
        <v>27.1</v>
      </c>
      <c r="AO4" s="27">
        <v>22.86</v>
      </c>
      <c r="AP4" s="28">
        <v>10296.9</v>
      </c>
      <c r="AQ4" s="28">
        <v>11526</v>
      </c>
      <c r="AR4" s="28">
        <v>11531.1</v>
      </c>
      <c r="AS4" s="28">
        <v>11566.8</v>
      </c>
      <c r="AT4" s="28">
        <v>11515.8</v>
      </c>
      <c r="AU4" s="28">
        <v>11612.7</v>
      </c>
      <c r="AV4" s="29">
        <v>12114</v>
      </c>
      <c r="AW4" s="29">
        <v>13560</v>
      </c>
      <c r="AX4" s="29">
        <v>13566</v>
      </c>
      <c r="AY4" s="29">
        <v>13608</v>
      </c>
      <c r="AZ4" s="29">
        <v>13548</v>
      </c>
      <c r="BA4" s="29">
        <v>13662</v>
      </c>
      <c r="BB4" s="30">
        <v>805699</v>
      </c>
      <c r="BC4" s="30">
        <v>811888</v>
      </c>
      <c r="BD4" s="30">
        <v>686982</v>
      </c>
      <c r="BE4" s="30">
        <v>562076</v>
      </c>
      <c r="BF4" s="30">
        <v>437170</v>
      </c>
      <c r="BG4" s="30">
        <v>374717</v>
      </c>
    </row>
    <row r="5" spans="1:59" ht="15.75" thickBot="1" x14ac:dyDescent="0.3">
      <c r="A5" s="19" t="s">
        <v>419</v>
      </c>
      <c r="B5" s="19" t="s">
        <v>420</v>
      </c>
      <c r="C5" s="20">
        <v>1</v>
      </c>
      <c r="D5" s="20">
        <v>1</v>
      </c>
      <c r="E5" s="20">
        <v>1</v>
      </c>
      <c r="F5" s="20">
        <v>1</v>
      </c>
      <c r="G5" s="20">
        <v>1</v>
      </c>
      <c r="H5" s="20">
        <v>1</v>
      </c>
      <c r="I5" s="21">
        <v>2</v>
      </c>
      <c r="J5" s="22">
        <v>0.69</v>
      </c>
      <c r="K5" s="22">
        <v>0.56999999999999995</v>
      </c>
      <c r="L5" s="22">
        <v>0.54</v>
      </c>
      <c r="M5" s="22">
        <v>0.51</v>
      </c>
      <c r="N5" s="22">
        <v>0.5</v>
      </c>
      <c r="O5" s="22">
        <v>0.47</v>
      </c>
      <c r="P5" s="23">
        <v>85</v>
      </c>
      <c r="Q5" s="23">
        <v>0</v>
      </c>
      <c r="R5" s="24">
        <v>85</v>
      </c>
      <c r="S5" s="24">
        <v>85</v>
      </c>
      <c r="T5" s="24">
        <v>85</v>
      </c>
      <c r="U5" s="24">
        <v>85</v>
      </c>
      <c r="V5" s="24">
        <v>85</v>
      </c>
      <c r="W5" s="24">
        <v>85</v>
      </c>
      <c r="X5" s="25">
        <v>0.15</v>
      </c>
      <c r="Y5" s="25">
        <v>0.09</v>
      </c>
      <c r="Z5" s="25">
        <v>0.08</v>
      </c>
      <c r="AA5" s="25">
        <v>0.06</v>
      </c>
      <c r="AB5" s="25">
        <v>0.05</v>
      </c>
      <c r="AC5" s="25">
        <v>0.04</v>
      </c>
      <c r="AD5" s="26">
        <v>0.13</v>
      </c>
      <c r="AE5" s="26">
        <v>0.08</v>
      </c>
      <c r="AF5" s="26">
        <v>7.0000000000000007E-2</v>
      </c>
      <c r="AG5" s="26">
        <v>0.05</v>
      </c>
      <c r="AH5" s="26">
        <v>0.04</v>
      </c>
      <c r="AI5" s="26">
        <v>0.03</v>
      </c>
      <c r="AJ5" s="27">
        <v>15.36</v>
      </c>
      <c r="AK5" s="27">
        <v>10.8</v>
      </c>
      <c r="AL5" s="27">
        <v>9</v>
      </c>
      <c r="AM5" s="27">
        <v>7.25</v>
      </c>
      <c r="AN5" s="27">
        <v>5.55</v>
      </c>
      <c r="AO5" s="27">
        <v>4.68</v>
      </c>
      <c r="AP5" s="28">
        <v>10296.9</v>
      </c>
      <c r="AQ5" s="28">
        <v>11526</v>
      </c>
      <c r="AR5" s="28">
        <v>11531.1</v>
      </c>
      <c r="AS5" s="28">
        <v>11566.8</v>
      </c>
      <c r="AT5" s="28">
        <v>11515.8</v>
      </c>
      <c r="AU5" s="28">
        <v>11612.7</v>
      </c>
      <c r="AV5" s="29">
        <v>12114</v>
      </c>
      <c r="AW5" s="29">
        <v>13560</v>
      </c>
      <c r="AX5" s="29">
        <v>13566</v>
      </c>
      <c r="AY5" s="29">
        <v>13608</v>
      </c>
      <c r="AZ5" s="29">
        <v>13548</v>
      </c>
      <c r="BA5" s="29">
        <v>13662</v>
      </c>
      <c r="BB5" s="30">
        <v>191116</v>
      </c>
      <c r="BC5" s="30">
        <v>136356</v>
      </c>
      <c r="BD5" s="30">
        <v>115378</v>
      </c>
      <c r="BE5" s="30">
        <v>94401</v>
      </c>
      <c r="BF5" s="30">
        <v>73423</v>
      </c>
      <c r="BG5" s="30">
        <v>62934</v>
      </c>
    </row>
    <row r="6" spans="1:59" ht="15.75" thickBot="1" x14ac:dyDescent="0.3">
      <c r="A6" s="19" t="s">
        <v>421</v>
      </c>
      <c r="B6" s="19" t="s">
        <v>422</v>
      </c>
      <c r="C6" s="20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1">
        <v>2</v>
      </c>
      <c r="J6" s="22">
        <v>0.69</v>
      </c>
      <c r="K6" s="22">
        <v>0.56999999999999995</v>
      </c>
      <c r="L6" s="22">
        <v>0.54</v>
      </c>
      <c r="M6" s="22">
        <v>0.51</v>
      </c>
      <c r="N6" s="22">
        <v>0.5</v>
      </c>
      <c r="O6" s="22">
        <v>0.47</v>
      </c>
      <c r="P6" s="23">
        <v>85</v>
      </c>
      <c r="Q6" s="23">
        <v>0</v>
      </c>
      <c r="R6" s="24">
        <v>85</v>
      </c>
      <c r="S6" s="24">
        <v>85</v>
      </c>
      <c r="T6" s="24">
        <v>85</v>
      </c>
      <c r="U6" s="24">
        <v>85</v>
      </c>
      <c r="V6" s="24">
        <v>85</v>
      </c>
      <c r="W6" s="24">
        <v>85</v>
      </c>
      <c r="X6" s="25">
        <v>0.11</v>
      </c>
      <c r="Y6" s="25">
        <v>0.39</v>
      </c>
      <c r="Z6" s="25">
        <v>0.32</v>
      </c>
      <c r="AA6" s="25">
        <v>0.26</v>
      </c>
      <c r="AB6" s="25">
        <v>0.2</v>
      </c>
      <c r="AC6" s="25">
        <v>0.17</v>
      </c>
      <c r="AD6" s="26">
        <v>0.09</v>
      </c>
      <c r="AE6" s="26">
        <v>0.33</v>
      </c>
      <c r="AF6" s="26">
        <v>0.27</v>
      </c>
      <c r="AG6" s="26">
        <v>0.22</v>
      </c>
      <c r="AH6" s="26">
        <v>0.17</v>
      </c>
      <c r="AI6" s="26">
        <v>0.14000000000000001</v>
      </c>
      <c r="AJ6" s="27">
        <v>10.82</v>
      </c>
      <c r="AK6" s="27">
        <v>44.63</v>
      </c>
      <c r="AL6" s="27">
        <v>37.19</v>
      </c>
      <c r="AM6" s="27">
        <v>29.96</v>
      </c>
      <c r="AN6" s="27">
        <v>22.94</v>
      </c>
      <c r="AO6" s="27">
        <v>19.34</v>
      </c>
      <c r="AP6" s="28">
        <v>10296.9</v>
      </c>
      <c r="AQ6" s="28">
        <v>11526</v>
      </c>
      <c r="AR6" s="28">
        <v>11531.1</v>
      </c>
      <c r="AS6" s="28">
        <v>11566.8</v>
      </c>
      <c r="AT6" s="28">
        <v>11515.8</v>
      </c>
      <c r="AU6" s="28">
        <v>11612.7</v>
      </c>
      <c r="AV6" s="29">
        <v>12114</v>
      </c>
      <c r="AW6" s="29">
        <v>13560</v>
      </c>
      <c r="AX6" s="29">
        <v>13566</v>
      </c>
      <c r="AY6" s="29">
        <v>13608</v>
      </c>
      <c r="AZ6" s="29">
        <v>13548</v>
      </c>
      <c r="BA6" s="29">
        <v>13662</v>
      </c>
      <c r="BB6" s="30">
        <v>50077</v>
      </c>
      <c r="BC6" s="30">
        <v>209617</v>
      </c>
      <c r="BD6" s="30">
        <v>177368</v>
      </c>
      <c r="BE6" s="30">
        <v>145120</v>
      </c>
      <c r="BF6" s="30">
        <v>112871</v>
      </c>
      <c r="BG6" s="30">
        <v>96746</v>
      </c>
    </row>
    <row r="7" spans="1:59" ht="15.75" thickBot="1" x14ac:dyDescent="0.3">
      <c r="A7" s="19" t="s">
        <v>288</v>
      </c>
      <c r="B7" s="19" t="s">
        <v>271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1">
        <v>2</v>
      </c>
      <c r="J7" s="22">
        <v>0.69</v>
      </c>
      <c r="K7" s="22">
        <v>0.56999999999999995</v>
      </c>
      <c r="L7" s="22">
        <v>0.54</v>
      </c>
      <c r="M7" s="22">
        <v>0.51</v>
      </c>
      <c r="N7" s="22">
        <v>0.5</v>
      </c>
      <c r="O7" s="22">
        <v>0.47</v>
      </c>
      <c r="P7" s="23">
        <v>85</v>
      </c>
      <c r="Q7" s="23">
        <v>0</v>
      </c>
      <c r="R7" s="24">
        <v>85</v>
      </c>
      <c r="S7" s="24">
        <v>85</v>
      </c>
      <c r="T7" s="24">
        <v>85</v>
      </c>
      <c r="U7" s="24">
        <v>85</v>
      </c>
      <c r="V7" s="24">
        <v>85</v>
      </c>
      <c r="W7" s="24">
        <v>85</v>
      </c>
      <c r="X7" s="25">
        <v>2.2200000000000002</v>
      </c>
      <c r="Y7" s="25">
        <v>2.4900000000000002</v>
      </c>
      <c r="Z7" s="25">
        <v>2.46</v>
      </c>
      <c r="AA7" s="25">
        <v>2.41</v>
      </c>
      <c r="AB7" s="25">
        <v>2.38</v>
      </c>
      <c r="AC7" s="25">
        <v>2.33</v>
      </c>
      <c r="AD7" s="26">
        <v>1.89</v>
      </c>
      <c r="AE7" s="26">
        <v>2.12</v>
      </c>
      <c r="AF7" s="26">
        <v>2.09</v>
      </c>
      <c r="AG7" s="26">
        <v>2.0499999999999998</v>
      </c>
      <c r="AH7" s="26">
        <v>2.0299999999999998</v>
      </c>
      <c r="AI7" s="26">
        <v>1.98</v>
      </c>
      <c r="AJ7" s="27">
        <v>228.88</v>
      </c>
      <c r="AK7" s="27">
        <v>287.57</v>
      </c>
      <c r="AL7" s="27">
        <v>283.19</v>
      </c>
      <c r="AM7" s="27">
        <v>278.82</v>
      </c>
      <c r="AN7" s="27">
        <v>274.44</v>
      </c>
      <c r="AO7" s="27">
        <v>270.06</v>
      </c>
      <c r="AP7" s="28">
        <v>10296.9</v>
      </c>
      <c r="AQ7" s="28">
        <v>11526</v>
      </c>
      <c r="AR7" s="28">
        <v>11531.1</v>
      </c>
      <c r="AS7" s="28">
        <v>11566.8</v>
      </c>
      <c r="AT7" s="28">
        <v>11515.8</v>
      </c>
      <c r="AU7" s="28">
        <v>11612.7</v>
      </c>
      <c r="AV7" s="29">
        <v>12114</v>
      </c>
      <c r="AW7" s="29">
        <v>13560</v>
      </c>
      <c r="AX7" s="29">
        <v>13566</v>
      </c>
      <c r="AY7" s="29">
        <v>13608</v>
      </c>
      <c r="AZ7" s="29">
        <v>13548</v>
      </c>
      <c r="BA7" s="29">
        <v>13662</v>
      </c>
      <c r="BB7" s="30">
        <v>125885</v>
      </c>
      <c r="BC7" s="30">
        <v>160574</v>
      </c>
      <c r="BD7" s="30">
        <v>160574</v>
      </c>
      <c r="BE7" s="30">
        <v>160574</v>
      </c>
      <c r="BF7" s="30">
        <v>160574</v>
      </c>
      <c r="BG7" s="30">
        <v>160574</v>
      </c>
    </row>
    <row r="8" spans="1:59" ht="15.75" thickBot="1" x14ac:dyDescent="0.3">
      <c r="A8" s="19" t="s">
        <v>289</v>
      </c>
      <c r="B8" s="19" t="s">
        <v>272</v>
      </c>
      <c r="C8" s="20">
        <v>1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1">
        <v>2</v>
      </c>
      <c r="J8" s="22">
        <v>0.69</v>
      </c>
      <c r="K8" s="22">
        <v>0.56999999999999995</v>
      </c>
      <c r="L8" s="22">
        <v>0.54</v>
      </c>
      <c r="M8" s="22">
        <v>0.51</v>
      </c>
      <c r="N8" s="22">
        <v>0.5</v>
      </c>
      <c r="O8" s="22">
        <v>0.47</v>
      </c>
      <c r="P8" s="23">
        <v>85</v>
      </c>
      <c r="Q8" s="23">
        <v>0</v>
      </c>
      <c r="R8" s="24">
        <v>85</v>
      </c>
      <c r="S8" s="24">
        <v>85</v>
      </c>
      <c r="T8" s="24">
        <v>85</v>
      </c>
      <c r="U8" s="24">
        <v>85</v>
      </c>
      <c r="V8" s="24">
        <v>85</v>
      </c>
      <c r="W8" s="24">
        <v>85</v>
      </c>
      <c r="X8" s="25">
        <v>2.15</v>
      </c>
      <c r="Y8" s="25">
        <v>2.4500000000000002</v>
      </c>
      <c r="Z8" s="25">
        <v>2.41</v>
      </c>
      <c r="AA8" s="25">
        <v>2.37</v>
      </c>
      <c r="AB8" s="25">
        <v>2.34</v>
      </c>
      <c r="AC8" s="25">
        <v>2.2799999999999998</v>
      </c>
      <c r="AD8" s="26">
        <v>1.83</v>
      </c>
      <c r="AE8" s="26">
        <v>2.08</v>
      </c>
      <c r="AF8" s="26">
        <v>2.0499999999999998</v>
      </c>
      <c r="AG8" s="26">
        <v>2.0099999999999998</v>
      </c>
      <c r="AH8" s="26">
        <v>1.99</v>
      </c>
      <c r="AI8" s="26">
        <v>1.94</v>
      </c>
      <c r="AJ8" s="27">
        <v>221.16</v>
      </c>
      <c r="AK8" s="27">
        <v>282.48</v>
      </c>
      <c r="AL8" s="27">
        <v>278.18</v>
      </c>
      <c r="AM8" s="27">
        <v>273.88</v>
      </c>
      <c r="AN8" s="27">
        <v>269.58</v>
      </c>
      <c r="AO8" s="27">
        <v>265.27</v>
      </c>
      <c r="AP8" s="28">
        <v>10296.9</v>
      </c>
      <c r="AQ8" s="28">
        <v>11526</v>
      </c>
      <c r="AR8" s="28">
        <v>11531.1</v>
      </c>
      <c r="AS8" s="28">
        <v>11566.8</v>
      </c>
      <c r="AT8" s="28">
        <v>11515.8</v>
      </c>
      <c r="AU8" s="28">
        <v>11612.7</v>
      </c>
      <c r="AV8" s="29">
        <v>12114</v>
      </c>
      <c r="AW8" s="29">
        <v>13560</v>
      </c>
      <c r="AX8" s="29">
        <v>13566</v>
      </c>
      <c r="AY8" s="29">
        <v>13608</v>
      </c>
      <c r="AZ8" s="29">
        <v>13548</v>
      </c>
      <c r="BA8" s="29">
        <v>13662</v>
      </c>
      <c r="BB8" s="30">
        <v>121640</v>
      </c>
      <c r="BC8" s="30">
        <v>157730</v>
      </c>
      <c r="BD8" s="30">
        <v>157730</v>
      </c>
      <c r="BE8" s="30">
        <v>157730</v>
      </c>
      <c r="BF8" s="30">
        <v>157730</v>
      </c>
      <c r="BG8" s="30">
        <v>157730</v>
      </c>
    </row>
    <row r="9" spans="1:59" ht="15.75" thickBot="1" x14ac:dyDescent="0.3">
      <c r="A9" s="19" t="s">
        <v>290</v>
      </c>
      <c r="B9" s="19" t="s">
        <v>273</v>
      </c>
      <c r="C9" s="20">
        <v>1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1">
        <v>2</v>
      </c>
      <c r="J9" s="22">
        <v>0.69</v>
      </c>
      <c r="K9" s="22">
        <v>0.56999999999999995</v>
      </c>
      <c r="L9" s="22">
        <v>0.54</v>
      </c>
      <c r="M9" s="22">
        <v>0.51</v>
      </c>
      <c r="N9" s="22">
        <v>0.5</v>
      </c>
      <c r="O9" s="22">
        <v>0.47</v>
      </c>
      <c r="P9" s="23">
        <v>85</v>
      </c>
      <c r="Q9" s="23">
        <v>0</v>
      </c>
      <c r="R9" s="24">
        <v>85</v>
      </c>
      <c r="S9" s="24">
        <v>85</v>
      </c>
      <c r="T9" s="24">
        <v>85</v>
      </c>
      <c r="U9" s="24">
        <v>85</v>
      </c>
      <c r="V9" s="24">
        <v>85</v>
      </c>
      <c r="W9" s="24">
        <v>85</v>
      </c>
      <c r="X9" s="25">
        <v>0.96</v>
      </c>
      <c r="Y9" s="25">
        <v>0.56999999999999995</v>
      </c>
      <c r="Z9" s="25">
        <v>0.56000000000000005</v>
      </c>
      <c r="AA9" s="25">
        <v>0.55000000000000004</v>
      </c>
      <c r="AB9" s="25">
        <v>0.54</v>
      </c>
      <c r="AC9" s="25">
        <v>0.53</v>
      </c>
      <c r="AD9" s="26">
        <v>0.82</v>
      </c>
      <c r="AE9" s="26">
        <v>0.48</v>
      </c>
      <c r="AF9" s="26">
        <v>0.47</v>
      </c>
      <c r="AG9" s="26">
        <v>0.47</v>
      </c>
      <c r="AH9" s="26">
        <v>0.46</v>
      </c>
      <c r="AI9" s="26">
        <v>0.45</v>
      </c>
      <c r="AJ9" s="27">
        <v>98.97</v>
      </c>
      <c r="AK9" s="27">
        <v>65.349999999999994</v>
      </c>
      <c r="AL9" s="27">
        <v>64.36</v>
      </c>
      <c r="AM9" s="27">
        <v>63.36</v>
      </c>
      <c r="AN9" s="27">
        <v>62.36</v>
      </c>
      <c r="AO9" s="27">
        <v>61.37</v>
      </c>
      <c r="AP9" s="28">
        <v>10296.9</v>
      </c>
      <c r="AQ9" s="28">
        <v>11526</v>
      </c>
      <c r="AR9" s="28">
        <v>11531.1</v>
      </c>
      <c r="AS9" s="28">
        <v>11566.8</v>
      </c>
      <c r="AT9" s="28">
        <v>11515.8</v>
      </c>
      <c r="AU9" s="28">
        <v>11612.7</v>
      </c>
      <c r="AV9" s="29">
        <v>12114</v>
      </c>
      <c r="AW9" s="29">
        <v>13560</v>
      </c>
      <c r="AX9" s="29">
        <v>13566</v>
      </c>
      <c r="AY9" s="29">
        <v>13608</v>
      </c>
      <c r="AZ9" s="29">
        <v>13548</v>
      </c>
      <c r="BA9" s="29">
        <v>13662</v>
      </c>
      <c r="BB9" s="30">
        <v>54436</v>
      </c>
      <c r="BC9" s="30">
        <v>36490</v>
      </c>
      <c r="BD9" s="30">
        <v>36490</v>
      </c>
      <c r="BE9" s="30">
        <v>36490</v>
      </c>
      <c r="BF9" s="30">
        <v>36490</v>
      </c>
      <c r="BG9" s="30">
        <v>36490</v>
      </c>
    </row>
    <row r="10" spans="1:59" ht="15.75" thickBot="1" x14ac:dyDescent="0.3">
      <c r="A10" s="19" t="s">
        <v>423</v>
      </c>
      <c r="B10" s="19" t="s">
        <v>424</v>
      </c>
      <c r="C10" s="20">
        <v>1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1">
        <v>2</v>
      </c>
      <c r="J10" s="22">
        <v>0.69</v>
      </c>
      <c r="K10" s="22">
        <v>0.56999999999999995</v>
      </c>
      <c r="L10" s="22">
        <v>0.54</v>
      </c>
      <c r="M10" s="22">
        <v>0.51</v>
      </c>
      <c r="N10" s="22">
        <v>0.5</v>
      </c>
      <c r="O10" s="22">
        <v>0.47</v>
      </c>
      <c r="P10" s="23">
        <v>85</v>
      </c>
      <c r="Q10" s="23">
        <v>0</v>
      </c>
      <c r="R10" s="24">
        <v>85</v>
      </c>
      <c r="S10" s="24">
        <v>85</v>
      </c>
      <c r="T10" s="24">
        <v>85</v>
      </c>
      <c r="U10" s="24">
        <v>85</v>
      </c>
      <c r="V10" s="24">
        <v>85</v>
      </c>
      <c r="W10" s="24">
        <v>85</v>
      </c>
      <c r="X10" s="25">
        <v>0.47</v>
      </c>
      <c r="Y10" s="25">
        <v>0.32</v>
      </c>
      <c r="Z10" s="25">
        <v>0.26</v>
      </c>
      <c r="AA10" s="25">
        <v>0.21</v>
      </c>
      <c r="AB10" s="25">
        <v>0.16</v>
      </c>
      <c r="AC10" s="25">
        <v>0.14000000000000001</v>
      </c>
      <c r="AD10" s="26">
        <v>0.4</v>
      </c>
      <c r="AE10" s="26">
        <v>0.27</v>
      </c>
      <c r="AF10" s="26">
        <v>0.22</v>
      </c>
      <c r="AG10" s="26">
        <v>0.18</v>
      </c>
      <c r="AH10" s="26">
        <v>0.14000000000000001</v>
      </c>
      <c r="AI10" s="26">
        <v>0.12</v>
      </c>
      <c r="AJ10" s="27">
        <v>48.52</v>
      </c>
      <c r="AK10" s="27">
        <v>36.54</v>
      </c>
      <c r="AL10" s="27">
        <v>30.45</v>
      </c>
      <c r="AM10" s="27">
        <v>24.53</v>
      </c>
      <c r="AN10" s="27">
        <v>18.78</v>
      </c>
      <c r="AO10" s="27">
        <v>15.84</v>
      </c>
      <c r="AP10" s="28">
        <v>10296.9</v>
      </c>
      <c r="AQ10" s="28">
        <v>11526</v>
      </c>
      <c r="AR10" s="28">
        <v>11531.1</v>
      </c>
      <c r="AS10" s="28">
        <v>11566.8</v>
      </c>
      <c r="AT10" s="28">
        <v>11515.8</v>
      </c>
      <c r="AU10" s="28">
        <v>11612.7</v>
      </c>
      <c r="AV10" s="29">
        <v>12114</v>
      </c>
      <c r="AW10" s="29">
        <v>13560</v>
      </c>
      <c r="AX10" s="29">
        <v>13566</v>
      </c>
      <c r="AY10" s="29">
        <v>13608</v>
      </c>
      <c r="AZ10" s="29">
        <v>13548</v>
      </c>
      <c r="BA10" s="29">
        <v>13662</v>
      </c>
      <c r="BB10" s="30">
        <v>518765</v>
      </c>
      <c r="BC10" s="30">
        <v>396653</v>
      </c>
      <c r="BD10" s="30">
        <v>335630</v>
      </c>
      <c r="BE10" s="30">
        <v>274606</v>
      </c>
      <c r="BF10" s="30">
        <v>213583</v>
      </c>
      <c r="BG10" s="30">
        <v>183071</v>
      </c>
    </row>
    <row r="11" spans="1:59" ht="15.75" thickBot="1" x14ac:dyDescent="0.3">
      <c r="A11" s="19" t="s">
        <v>425</v>
      </c>
      <c r="B11" s="19" t="s">
        <v>426</v>
      </c>
      <c r="C11" s="20">
        <v>1</v>
      </c>
      <c r="D11" s="20">
        <v>1</v>
      </c>
      <c r="E11" s="20">
        <v>1</v>
      </c>
      <c r="F11" s="20">
        <v>1</v>
      </c>
      <c r="G11" s="20">
        <v>1</v>
      </c>
      <c r="H11" s="20">
        <v>1</v>
      </c>
      <c r="I11" s="21">
        <v>2</v>
      </c>
      <c r="J11" s="22">
        <v>0.69</v>
      </c>
      <c r="K11" s="22">
        <v>0.56999999999999995</v>
      </c>
      <c r="L11" s="22">
        <v>0.54</v>
      </c>
      <c r="M11" s="22">
        <v>0.51</v>
      </c>
      <c r="N11" s="22">
        <v>0.5</v>
      </c>
      <c r="O11" s="22">
        <v>0.47</v>
      </c>
      <c r="P11" s="23">
        <v>85</v>
      </c>
      <c r="Q11" s="23">
        <v>0</v>
      </c>
      <c r="R11" s="24">
        <v>85</v>
      </c>
      <c r="S11" s="24">
        <v>85</v>
      </c>
      <c r="T11" s="24">
        <v>85</v>
      </c>
      <c r="U11" s="24">
        <v>85</v>
      </c>
      <c r="V11" s="24">
        <v>85</v>
      </c>
      <c r="W11" s="24">
        <v>85</v>
      </c>
      <c r="X11" s="25">
        <v>0.81</v>
      </c>
      <c r="Y11" s="25">
        <v>0.35</v>
      </c>
      <c r="Z11" s="25">
        <v>0.28999999999999998</v>
      </c>
      <c r="AA11" s="25">
        <v>0.24</v>
      </c>
      <c r="AB11" s="25">
        <v>0.18</v>
      </c>
      <c r="AC11" s="25">
        <v>0.15</v>
      </c>
      <c r="AD11" s="26">
        <v>0.69</v>
      </c>
      <c r="AE11" s="26">
        <v>0.3</v>
      </c>
      <c r="AF11" s="26">
        <v>0.25</v>
      </c>
      <c r="AG11" s="26">
        <v>0.2</v>
      </c>
      <c r="AH11" s="26">
        <v>0.15</v>
      </c>
      <c r="AI11" s="26">
        <v>0.13</v>
      </c>
      <c r="AJ11" s="27">
        <v>83.49</v>
      </c>
      <c r="AK11" s="27">
        <v>40.64</v>
      </c>
      <c r="AL11" s="27">
        <v>33.869999999999997</v>
      </c>
      <c r="AM11" s="27">
        <v>27.28</v>
      </c>
      <c r="AN11" s="27">
        <v>20.89</v>
      </c>
      <c r="AO11" s="27">
        <v>17.62</v>
      </c>
      <c r="AP11" s="28">
        <v>10296.9</v>
      </c>
      <c r="AQ11" s="28">
        <v>11526</v>
      </c>
      <c r="AR11" s="28">
        <v>11531.1</v>
      </c>
      <c r="AS11" s="28">
        <v>11566.8</v>
      </c>
      <c r="AT11" s="28">
        <v>11515.8</v>
      </c>
      <c r="AU11" s="28">
        <v>11612.7</v>
      </c>
      <c r="AV11" s="29">
        <v>12114</v>
      </c>
      <c r="AW11" s="29">
        <v>13560</v>
      </c>
      <c r="AX11" s="29">
        <v>13566</v>
      </c>
      <c r="AY11" s="29">
        <v>13608</v>
      </c>
      <c r="AZ11" s="29">
        <v>13548</v>
      </c>
      <c r="BA11" s="29">
        <v>13662</v>
      </c>
      <c r="BB11" s="30">
        <v>797296</v>
      </c>
      <c r="BC11" s="30">
        <v>394040</v>
      </c>
      <c r="BD11" s="30">
        <v>333419</v>
      </c>
      <c r="BE11" s="30">
        <v>272797</v>
      </c>
      <c r="BF11" s="30">
        <v>212176</v>
      </c>
      <c r="BG11" s="30">
        <v>181865</v>
      </c>
    </row>
    <row r="12" spans="1:59" ht="15.75" thickBot="1" x14ac:dyDescent="0.3">
      <c r="A12" s="19" t="s">
        <v>427</v>
      </c>
      <c r="B12" s="19" t="s">
        <v>428</v>
      </c>
      <c r="C12" s="20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1">
        <v>2</v>
      </c>
      <c r="J12" s="22">
        <v>0.69</v>
      </c>
      <c r="K12" s="22">
        <v>0.56999999999999995</v>
      </c>
      <c r="L12" s="22">
        <v>0.54</v>
      </c>
      <c r="M12" s="22">
        <v>0.51</v>
      </c>
      <c r="N12" s="22">
        <v>0.5</v>
      </c>
      <c r="O12" s="22">
        <v>0.47</v>
      </c>
      <c r="P12" s="23">
        <v>85</v>
      </c>
      <c r="Q12" s="23">
        <v>0</v>
      </c>
      <c r="R12" s="24">
        <v>85</v>
      </c>
      <c r="S12" s="24">
        <v>85</v>
      </c>
      <c r="T12" s="24">
        <v>85</v>
      </c>
      <c r="U12" s="24">
        <v>85</v>
      </c>
      <c r="V12" s="24">
        <v>85</v>
      </c>
      <c r="W12" s="24">
        <v>85</v>
      </c>
      <c r="X12" s="25">
        <v>0.01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6">
        <v>0.01</v>
      </c>
      <c r="AE12" s="26">
        <v>0</v>
      </c>
      <c r="AF12" s="26">
        <v>0</v>
      </c>
      <c r="AG12" s="26">
        <v>0</v>
      </c>
      <c r="AH12" s="26">
        <v>0</v>
      </c>
      <c r="AI12" s="26">
        <v>0</v>
      </c>
      <c r="AJ12" s="27">
        <v>1.08</v>
      </c>
      <c r="AK12" s="27">
        <v>0</v>
      </c>
      <c r="AL12" s="27">
        <v>0</v>
      </c>
      <c r="AM12" s="27">
        <v>0</v>
      </c>
      <c r="AN12" s="27">
        <v>0</v>
      </c>
      <c r="AO12" s="27">
        <v>0</v>
      </c>
      <c r="AP12" s="28">
        <v>10296.9</v>
      </c>
      <c r="AQ12" s="28">
        <v>11526</v>
      </c>
      <c r="AR12" s="28">
        <v>11531.1</v>
      </c>
      <c r="AS12" s="28">
        <v>11566.8</v>
      </c>
      <c r="AT12" s="28">
        <v>11515.8</v>
      </c>
      <c r="AU12" s="28">
        <v>11612.7</v>
      </c>
      <c r="AV12" s="29">
        <v>12114</v>
      </c>
      <c r="AW12" s="29">
        <v>13560</v>
      </c>
      <c r="AX12" s="29">
        <v>13566</v>
      </c>
      <c r="AY12" s="29">
        <v>13608</v>
      </c>
      <c r="AZ12" s="29">
        <v>13548</v>
      </c>
      <c r="BA12" s="29">
        <v>13662</v>
      </c>
      <c r="BB12" s="30">
        <v>5000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</row>
    <row r="13" spans="1:59" ht="15.75" thickBot="1" x14ac:dyDescent="0.3">
      <c r="A13" s="19" t="s">
        <v>429</v>
      </c>
      <c r="B13" s="19" t="s">
        <v>430</v>
      </c>
      <c r="C13" s="20">
        <v>1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1">
        <v>2</v>
      </c>
      <c r="J13" s="22">
        <v>0.69</v>
      </c>
      <c r="K13" s="22">
        <v>0.56999999999999995</v>
      </c>
      <c r="L13" s="22">
        <v>0.54</v>
      </c>
      <c r="M13" s="22">
        <v>0.51</v>
      </c>
      <c r="N13" s="22">
        <v>0.5</v>
      </c>
      <c r="O13" s="22">
        <v>0.47</v>
      </c>
      <c r="P13" s="23">
        <v>85</v>
      </c>
      <c r="Q13" s="23">
        <v>0</v>
      </c>
      <c r="R13" s="24">
        <v>85</v>
      </c>
      <c r="S13" s="24">
        <v>85</v>
      </c>
      <c r="T13" s="24">
        <v>85</v>
      </c>
      <c r="U13" s="24">
        <v>85</v>
      </c>
      <c r="V13" s="24">
        <v>85</v>
      </c>
      <c r="W13" s="24">
        <v>85</v>
      </c>
      <c r="X13" s="25">
        <v>0.01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6">
        <v>0.01</v>
      </c>
      <c r="AE13" s="26">
        <v>0</v>
      </c>
      <c r="AF13" s="26">
        <v>0</v>
      </c>
      <c r="AG13" s="26">
        <v>0</v>
      </c>
      <c r="AH13" s="26">
        <v>0</v>
      </c>
      <c r="AI13" s="26">
        <v>0</v>
      </c>
      <c r="AJ13" s="27">
        <v>0.96</v>
      </c>
      <c r="AK13" s="27">
        <v>0</v>
      </c>
      <c r="AL13" s="27">
        <v>0</v>
      </c>
      <c r="AM13" s="27">
        <v>0</v>
      </c>
      <c r="AN13" s="27">
        <v>0</v>
      </c>
      <c r="AO13" s="27">
        <v>0</v>
      </c>
      <c r="AP13" s="28">
        <v>10296.9</v>
      </c>
      <c r="AQ13" s="28">
        <v>11526</v>
      </c>
      <c r="AR13" s="28">
        <v>11531.1</v>
      </c>
      <c r="AS13" s="28">
        <v>11566.8</v>
      </c>
      <c r="AT13" s="28">
        <v>11515.8</v>
      </c>
      <c r="AU13" s="28">
        <v>11612.7</v>
      </c>
      <c r="AV13" s="29">
        <v>12114</v>
      </c>
      <c r="AW13" s="29">
        <v>13560</v>
      </c>
      <c r="AX13" s="29">
        <v>13566</v>
      </c>
      <c r="AY13" s="29">
        <v>13608</v>
      </c>
      <c r="AZ13" s="29">
        <v>13548</v>
      </c>
      <c r="BA13" s="29">
        <v>13662</v>
      </c>
      <c r="BB13" s="30">
        <v>10000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</row>
    <row r="14" spans="1:59" ht="15.75" thickBot="1" x14ac:dyDescent="0.3">
      <c r="A14" s="19" t="s">
        <v>431</v>
      </c>
      <c r="B14" s="19" t="s">
        <v>432</v>
      </c>
      <c r="C14" s="20">
        <v>1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1">
        <v>2</v>
      </c>
      <c r="J14" s="22">
        <v>0.69</v>
      </c>
      <c r="K14" s="22">
        <v>0.56999999999999995</v>
      </c>
      <c r="L14" s="22">
        <v>0.54</v>
      </c>
      <c r="M14" s="22">
        <v>0.51</v>
      </c>
      <c r="N14" s="22">
        <v>0.5</v>
      </c>
      <c r="O14" s="22">
        <v>0.47</v>
      </c>
      <c r="P14" s="23">
        <v>85</v>
      </c>
      <c r="Q14" s="23">
        <v>0</v>
      </c>
      <c r="R14" s="24">
        <v>85</v>
      </c>
      <c r="S14" s="24">
        <v>85</v>
      </c>
      <c r="T14" s="24">
        <v>85</v>
      </c>
      <c r="U14" s="24">
        <v>85</v>
      </c>
      <c r="V14" s="24">
        <v>85</v>
      </c>
      <c r="W14" s="24">
        <v>85</v>
      </c>
      <c r="X14" s="25">
        <v>0.49</v>
      </c>
      <c r="Y14" s="25">
        <v>0.28000000000000003</v>
      </c>
      <c r="Z14" s="25">
        <v>0.23</v>
      </c>
      <c r="AA14" s="25">
        <v>0.19</v>
      </c>
      <c r="AB14" s="25">
        <v>0.14000000000000001</v>
      </c>
      <c r="AC14" s="25">
        <v>0.12</v>
      </c>
      <c r="AD14" s="26">
        <v>0.41</v>
      </c>
      <c r="AE14" s="26">
        <v>0.24</v>
      </c>
      <c r="AF14" s="26">
        <v>0.2</v>
      </c>
      <c r="AG14" s="26">
        <v>0.16</v>
      </c>
      <c r="AH14" s="26">
        <v>0.12</v>
      </c>
      <c r="AI14" s="26">
        <v>0.1</v>
      </c>
      <c r="AJ14" s="27">
        <v>49.94</v>
      </c>
      <c r="AK14" s="27">
        <v>32.229999999999997</v>
      </c>
      <c r="AL14" s="27">
        <v>26.86</v>
      </c>
      <c r="AM14" s="27">
        <v>21.63</v>
      </c>
      <c r="AN14" s="27">
        <v>16.559999999999999</v>
      </c>
      <c r="AO14" s="27">
        <v>13.97</v>
      </c>
      <c r="AP14" s="28">
        <v>10296.9</v>
      </c>
      <c r="AQ14" s="28">
        <v>11526</v>
      </c>
      <c r="AR14" s="28">
        <v>11531.1</v>
      </c>
      <c r="AS14" s="28">
        <v>11566.8</v>
      </c>
      <c r="AT14" s="28">
        <v>11515.8</v>
      </c>
      <c r="AU14" s="28">
        <v>11612.7</v>
      </c>
      <c r="AV14" s="29">
        <v>12114</v>
      </c>
      <c r="AW14" s="29">
        <v>13560</v>
      </c>
      <c r="AX14" s="29">
        <v>13566</v>
      </c>
      <c r="AY14" s="29">
        <v>13608</v>
      </c>
      <c r="AZ14" s="29">
        <v>13548</v>
      </c>
      <c r="BA14" s="29">
        <v>13662</v>
      </c>
      <c r="BB14" s="30">
        <v>420645</v>
      </c>
      <c r="BC14" s="30">
        <v>275614</v>
      </c>
      <c r="BD14" s="30">
        <v>233212</v>
      </c>
      <c r="BE14" s="30">
        <v>190810</v>
      </c>
      <c r="BF14" s="30">
        <v>148408</v>
      </c>
      <c r="BG14" s="30">
        <v>127207</v>
      </c>
    </row>
    <row r="15" spans="1:59" ht="15.75" thickBot="1" x14ac:dyDescent="0.3">
      <c r="A15" s="19" t="s">
        <v>433</v>
      </c>
      <c r="B15" s="19" t="s">
        <v>434</v>
      </c>
      <c r="C15" s="20">
        <v>1</v>
      </c>
      <c r="D15" s="20">
        <v>1</v>
      </c>
      <c r="E15" s="20">
        <v>1</v>
      </c>
      <c r="F15" s="20">
        <v>1</v>
      </c>
      <c r="G15" s="20">
        <v>1</v>
      </c>
      <c r="H15" s="20">
        <v>1</v>
      </c>
      <c r="I15" s="21">
        <v>2</v>
      </c>
      <c r="J15" s="22">
        <v>0.69</v>
      </c>
      <c r="K15" s="22">
        <v>0.56999999999999995</v>
      </c>
      <c r="L15" s="22">
        <v>0.54</v>
      </c>
      <c r="M15" s="22">
        <v>0.51</v>
      </c>
      <c r="N15" s="22">
        <v>0.5</v>
      </c>
      <c r="O15" s="22">
        <v>0.47</v>
      </c>
      <c r="P15" s="23">
        <v>85</v>
      </c>
      <c r="Q15" s="23">
        <v>0</v>
      </c>
      <c r="R15" s="24">
        <v>85</v>
      </c>
      <c r="S15" s="24">
        <v>85</v>
      </c>
      <c r="T15" s="24">
        <v>85</v>
      </c>
      <c r="U15" s="24">
        <v>85</v>
      </c>
      <c r="V15" s="24">
        <v>85</v>
      </c>
      <c r="W15" s="24">
        <v>85</v>
      </c>
      <c r="X15" s="25">
        <v>0</v>
      </c>
      <c r="Y15" s="25">
        <v>0.21</v>
      </c>
      <c r="Z15" s="25">
        <v>0.18</v>
      </c>
      <c r="AA15" s="25">
        <v>0.14000000000000001</v>
      </c>
      <c r="AB15" s="25">
        <v>0.11</v>
      </c>
      <c r="AC15" s="25">
        <v>0.09</v>
      </c>
      <c r="AD15" s="26">
        <v>0</v>
      </c>
      <c r="AE15" s="26">
        <v>0.18</v>
      </c>
      <c r="AF15" s="26">
        <v>0.15</v>
      </c>
      <c r="AG15" s="26">
        <v>0.12</v>
      </c>
      <c r="AH15" s="26">
        <v>0.09</v>
      </c>
      <c r="AI15" s="26">
        <v>0.08</v>
      </c>
      <c r="AJ15" s="27">
        <v>0</v>
      </c>
      <c r="AK15" s="27">
        <v>24.64</v>
      </c>
      <c r="AL15" s="27">
        <v>20.54</v>
      </c>
      <c r="AM15" s="27">
        <v>16.54</v>
      </c>
      <c r="AN15" s="27">
        <v>12.66</v>
      </c>
      <c r="AO15" s="27">
        <v>10.68</v>
      </c>
      <c r="AP15" s="28">
        <v>10296.9</v>
      </c>
      <c r="AQ15" s="28">
        <v>11526</v>
      </c>
      <c r="AR15" s="28">
        <v>11531.1</v>
      </c>
      <c r="AS15" s="28">
        <v>11566.8</v>
      </c>
      <c r="AT15" s="28">
        <v>11515.8</v>
      </c>
      <c r="AU15" s="28">
        <v>11612.7</v>
      </c>
      <c r="AV15" s="29">
        <v>12114</v>
      </c>
      <c r="AW15" s="29">
        <v>13560</v>
      </c>
      <c r="AX15" s="29">
        <v>13566</v>
      </c>
      <c r="AY15" s="29">
        <v>13608</v>
      </c>
      <c r="AZ15" s="29">
        <v>13548</v>
      </c>
      <c r="BA15" s="29">
        <v>13662</v>
      </c>
      <c r="BB15" s="30">
        <v>0</v>
      </c>
      <c r="BC15" s="30">
        <v>115742</v>
      </c>
      <c r="BD15" s="30">
        <v>97935</v>
      </c>
      <c r="BE15" s="30">
        <v>80129</v>
      </c>
      <c r="BF15" s="30">
        <v>62322</v>
      </c>
      <c r="BG15" s="30">
        <v>53419</v>
      </c>
    </row>
    <row r="16" spans="1:59" ht="15.75" thickBot="1" x14ac:dyDescent="0.3">
      <c r="A16" s="19" t="s">
        <v>435</v>
      </c>
      <c r="B16" s="19" t="s">
        <v>371</v>
      </c>
      <c r="C16" s="20">
        <v>1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1">
        <v>2</v>
      </c>
      <c r="J16" s="22">
        <v>0.69</v>
      </c>
      <c r="K16" s="22">
        <v>0.56999999999999995</v>
      </c>
      <c r="L16" s="22">
        <v>0.54</v>
      </c>
      <c r="M16" s="22">
        <v>0.51</v>
      </c>
      <c r="N16" s="22">
        <v>0.5</v>
      </c>
      <c r="O16" s="22">
        <v>0.47</v>
      </c>
      <c r="P16" s="23">
        <v>85</v>
      </c>
      <c r="Q16" s="23">
        <v>0</v>
      </c>
      <c r="R16" s="24">
        <v>85</v>
      </c>
      <c r="S16" s="24">
        <v>85</v>
      </c>
      <c r="T16" s="24">
        <v>85</v>
      </c>
      <c r="U16" s="24">
        <v>85</v>
      </c>
      <c r="V16" s="24">
        <v>85</v>
      </c>
      <c r="W16" s="24">
        <v>85</v>
      </c>
      <c r="X16" s="25">
        <v>0.05</v>
      </c>
      <c r="Y16" s="25">
        <v>0.03</v>
      </c>
      <c r="Z16" s="25">
        <v>0.03</v>
      </c>
      <c r="AA16" s="25">
        <v>0.03</v>
      </c>
      <c r="AB16" s="25">
        <v>0.03</v>
      </c>
      <c r="AC16" s="25">
        <v>0.03</v>
      </c>
      <c r="AD16" s="26">
        <v>0.04</v>
      </c>
      <c r="AE16" s="26">
        <v>0.02</v>
      </c>
      <c r="AF16" s="26">
        <v>0.02</v>
      </c>
      <c r="AG16" s="26">
        <v>0.02</v>
      </c>
      <c r="AH16" s="26">
        <v>0.02</v>
      </c>
      <c r="AI16" s="26">
        <v>0.02</v>
      </c>
      <c r="AJ16" s="27">
        <v>4.88</v>
      </c>
      <c r="AK16" s="27">
        <v>3.39</v>
      </c>
      <c r="AL16" s="27">
        <v>3.34</v>
      </c>
      <c r="AM16" s="27">
        <v>3.29</v>
      </c>
      <c r="AN16" s="27">
        <v>3.24</v>
      </c>
      <c r="AO16" s="27">
        <v>3.19</v>
      </c>
      <c r="AP16" s="28">
        <v>10296.9</v>
      </c>
      <c r="AQ16" s="28">
        <v>11526</v>
      </c>
      <c r="AR16" s="28">
        <v>11531.1</v>
      </c>
      <c r="AS16" s="28">
        <v>11566.8</v>
      </c>
      <c r="AT16" s="28">
        <v>11515.8</v>
      </c>
      <c r="AU16" s="28">
        <v>11612.7</v>
      </c>
      <c r="AV16" s="29">
        <v>12114</v>
      </c>
      <c r="AW16" s="29">
        <v>13560</v>
      </c>
      <c r="AX16" s="29">
        <v>13566</v>
      </c>
      <c r="AY16" s="29">
        <v>13608</v>
      </c>
      <c r="AZ16" s="29">
        <v>13548</v>
      </c>
      <c r="BA16" s="29">
        <v>13662</v>
      </c>
      <c r="BB16" s="30">
        <v>58515</v>
      </c>
      <c r="BC16" s="30">
        <v>41337</v>
      </c>
      <c r="BD16" s="30">
        <v>41337</v>
      </c>
      <c r="BE16" s="30">
        <v>41337</v>
      </c>
      <c r="BF16" s="30">
        <v>41337</v>
      </c>
      <c r="BG16" s="30">
        <v>41337</v>
      </c>
    </row>
    <row r="17" spans="1:59" ht="15.75" thickBot="1" x14ac:dyDescent="0.3">
      <c r="A17" s="19" t="s">
        <v>436</v>
      </c>
      <c r="B17" s="19" t="s">
        <v>372</v>
      </c>
      <c r="C17" s="20">
        <v>1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1">
        <v>2</v>
      </c>
      <c r="J17" s="22">
        <v>0.69</v>
      </c>
      <c r="K17" s="22">
        <v>0.56999999999999995</v>
      </c>
      <c r="L17" s="22">
        <v>0.54</v>
      </c>
      <c r="M17" s="22">
        <v>0.51</v>
      </c>
      <c r="N17" s="22">
        <v>0.5</v>
      </c>
      <c r="O17" s="22">
        <v>0.47</v>
      </c>
      <c r="P17" s="23">
        <v>85</v>
      </c>
      <c r="Q17" s="23">
        <v>0</v>
      </c>
      <c r="R17" s="24">
        <v>85</v>
      </c>
      <c r="S17" s="24">
        <v>85</v>
      </c>
      <c r="T17" s="24">
        <v>85</v>
      </c>
      <c r="U17" s="24">
        <v>85</v>
      </c>
      <c r="V17" s="24">
        <v>85</v>
      </c>
      <c r="W17" s="24">
        <v>85</v>
      </c>
      <c r="X17" s="25">
        <v>0.1</v>
      </c>
      <c r="Y17" s="25">
        <v>7.0000000000000007E-2</v>
      </c>
      <c r="Z17" s="25">
        <v>7.0000000000000007E-2</v>
      </c>
      <c r="AA17" s="25">
        <v>7.0000000000000007E-2</v>
      </c>
      <c r="AB17" s="25">
        <v>0.06</v>
      </c>
      <c r="AC17" s="25">
        <v>0.06</v>
      </c>
      <c r="AD17" s="26">
        <v>0.09</v>
      </c>
      <c r="AE17" s="26">
        <v>0.06</v>
      </c>
      <c r="AF17" s="26">
        <v>0.06</v>
      </c>
      <c r="AG17" s="26">
        <v>0.06</v>
      </c>
      <c r="AH17" s="26">
        <v>0.06</v>
      </c>
      <c r="AI17" s="26">
        <v>0.05</v>
      </c>
      <c r="AJ17" s="27">
        <v>10.57</v>
      </c>
      <c r="AK17" s="27">
        <v>7.83</v>
      </c>
      <c r="AL17" s="27">
        <v>7.71</v>
      </c>
      <c r="AM17" s="27">
        <v>7.59</v>
      </c>
      <c r="AN17" s="27">
        <v>7.47</v>
      </c>
      <c r="AO17" s="27">
        <v>7.35</v>
      </c>
      <c r="AP17" s="28">
        <v>10296.9</v>
      </c>
      <c r="AQ17" s="28">
        <v>11526</v>
      </c>
      <c r="AR17" s="28">
        <v>11531.1</v>
      </c>
      <c r="AS17" s="28">
        <v>11566.8</v>
      </c>
      <c r="AT17" s="28">
        <v>11515.8</v>
      </c>
      <c r="AU17" s="28">
        <v>11612.7</v>
      </c>
      <c r="AV17" s="29">
        <v>12114</v>
      </c>
      <c r="AW17" s="29">
        <v>13560</v>
      </c>
      <c r="AX17" s="29">
        <v>13566</v>
      </c>
      <c r="AY17" s="29">
        <v>13608</v>
      </c>
      <c r="AZ17" s="29">
        <v>13548</v>
      </c>
      <c r="BA17" s="29">
        <v>13662</v>
      </c>
      <c r="BB17" s="30">
        <v>89813</v>
      </c>
      <c r="BC17" s="30">
        <v>67532</v>
      </c>
      <c r="BD17" s="30">
        <v>67532</v>
      </c>
      <c r="BE17" s="30">
        <v>67532</v>
      </c>
      <c r="BF17" s="30">
        <v>67532</v>
      </c>
      <c r="BG17" s="30">
        <v>67532</v>
      </c>
    </row>
    <row r="18" spans="1:59" ht="15.75" thickBot="1" x14ac:dyDescent="0.3">
      <c r="A18" s="19" t="s">
        <v>437</v>
      </c>
      <c r="B18" s="19" t="s">
        <v>438</v>
      </c>
      <c r="C18" s="20">
        <v>1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1">
        <v>2</v>
      </c>
      <c r="J18" s="22">
        <v>0.69</v>
      </c>
      <c r="K18" s="22">
        <v>0.56999999999999995</v>
      </c>
      <c r="L18" s="22">
        <v>0.54</v>
      </c>
      <c r="M18" s="22">
        <v>0.51</v>
      </c>
      <c r="N18" s="22">
        <v>0.5</v>
      </c>
      <c r="O18" s="22">
        <v>0.47</v>
      </c>
      <c r="P18" s="23">
        <v>85</v>
      </c>
      <c r="Q18" s="23">
        <v>0</v>
      </c>
      <c r="R18" s="24">
        <v>85</v>
      </c>
      <c r="S18" s="24">
        <v>85</v>
      </c>
      <c r="T18" s="24">
        <v>85</v>
      </c>
      <c r="U18" s="24">
        <v>85</v>
      </c>
      <c r="V18" s="24">
        <v>85</v>
      </c>
      <c r="W18" s="24">
        <v>85</v>
      </c>
      <c r="X18" s="25">
        <v>0.74</v>
      </c>
      <c r="Y18" s="25">
        <v>0.1</v>
      </c>
      <c r="Z18" s="25">
        <v>0.08</v>
      </c>
      <c r="AA18" s="25">
        <v>0.06</v>
      </c>
      <c r="AB18" s="25">
        <v>0.05</v>
      </c>
      <c r="AC18" s="25">
        <v>0.04</v>
      </c>
      <c r="AD18" s="26">
        <v>0.63</v>
      </c>
      <c r="AE18" s="26">
        <v>0.08</v>
      </c>
      <c r="AF18" s="26">
        <v>7.0000000000000007E-2</v>
      </c>
      <c r="AG18" s="26">
        <v>0.05</v>
      </c>
      <c r="AH18" s="26">
        <v>0.04</v>
      </c>
      <c r="AI18" s="26">
        <v>0.04</v>
      </c>
      <c r="AJ18" s="27">
        <v>75.77</v>
      </c>
      <c r="AK18" s="27">
        <v>11.09</v>
      </c>
      <c r="AL18" s="27">
        <v>9.24</v>
      </c>
      <c r="AM18" s="27">
        <v>7.45</v>
      </c>
      <c r="AN18" s="27">
        <v>5.7</v>
      </c>
      <c r="AO18" s="27">
        <v>4.8099999999999996</v>
      </c>
      <c r="AP18" s="28">
        <v>10296.9</v>
      </c>
      <c r="AQ18" s="28">
        <v>11526</v>
      </c>
      <c r="AR18" s="28">
        <v>11531.1</v>
      </c>
      <c r="AS18" s="28">
        <v>11566.8</v>
      </c>
      <c r="AT18" s="28">
        <v>11515.8</v>
      </c>
      <c r="AU18" s="28">
        <v>11612.7</v>
      </c>
      <c r="AV18" s="29">
        <v>12114</v>
      </c>
      <c r="AW18" s="29">
        <v>13560</v>
      </c>
      <c r="AX18" s="29">
        <v>13566</v>
      </c>
      <c r="AY18" s="29">
        <v>13608</v>
      </c>
      <c r="AZ18" s="29">
        <v>13548</v>
      </c>
      <c r="BA18" s="29">
        <v>13662</v>
      </c>
      <c r="BB18" s="30">
        <v>350524</v>
      </c>
      <c r="BC18" s="30">
        <v>52096</v>
      </c>
      <c r="BD18" s="30">
        <v>44081</v>
      </c>
      <c r="BE18" s="30">
        <v>36067</v>
      </c>
      <c r="BF18" s="30">
        <v>28052</v>
      </c>
      <c r="BG18" s="30">
        <v>24044</v>
      </c>
    </row>
    <row r="19" spans="1:59" ht="15.75" thickBot="1" x14ac:dyDescent="0.3">
      <c r="A19" s="19" t="s">
        <v>439</v>
      </c>
      <c r="B19" s="19" t="s">
        <v>373</v>
      </c>
      <c r="C19" s="20">
        <v>1</v>
      </c>
      <c r="D19" s="20">
        <v>1</v>
      </c>
      <c r="E19" s="20">
        <v>1</v>
      </c>
      <c r="F19" s="20">
        <v>1</v>
      </c>
      <c r="G19" s="20">
        <v>1</v>
      </c>
      <c r="H19" s="20">
        <v>1</v>
      </c>
      <c r="I19" s="21">
        <v>2</v>
      </c>
      <c r="J19" s="22">
        <v>0.69</v>
      </c>
      <c r="K19" s="22">
        <v>0.56999999999999995</v>
      </c>
      <c r="L19" s="22">
        <v>0.54</v>
      </c>
      <c r="M19" s="22">
        <v>0.51</v>
      </c>
      <c r="N19" s="22">
        <v>0.5</v>
      </c>
      <c r="O19" s="22">
        <v>0.47</v>
      </c>
      <c r="P19" s="23">
        <v>85</v>
      </c>
      <c r="Q19" s="23">
        <v>0</v>
      </c>
      <c r="R19" s="24">
        <v>85</v>
      </c>
      <c r="S19" s="24">
        <v>85</v>
      </c>
      <c r="T19" s="24">
        <v>85</v>
      </c>
      <c r="U19" s="24">
        <v>85</v>
      </c>
      <c r="V19" s="24">
        <v>85</v>
      </c>
      <c r="W19" s="24">
        <v>85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26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8">
        <v>10296.9</v>
      </c>
      <c r="AQ19" s="28">
        <v>11526</v>
      </c>
      <c r="AR19" s="28">
        <v>11531.1</v>
      </c>
      <c r="AS19" s="28">
        <v>11566.8</v>
      </c>
      <c r="AT19" s="28">
        <v>11515.8</v>
      </c>
      <c r="AU19" s="28">
        <v>11612.7</v>
      </c>
      <c r="AV19" s="29">
        <v>12114</v>
      </c>
      <c r="AW19" s="29">
        <v>13560</v>
      </c>
      <c r="AX19" s="29">
        <v>13566</v>
      </c>
      <c r="AY19" s="29">
        <v>13608</v>
      </c>
      <c r="AZ19" s="29">
        <v>13548</v>
      </c>
      <c r="BA19" s="29">
        <v>13662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</row>
    <row r="20" spans="1:59" ht="15.75" thickBot="1" x14ac:dyDescent="0.3">
      <c r="A20" s="19" t="s">
        <v>440</v>
      </c>
      <c r="B20" s="19" t="s">
        <v>374</v>
      </c>
      <c r="C20" s="20">
        <v>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1">
        <v>2</v>
      </c>
      <c r="J20" s="22">
        <v>0.69</v>
      </c>
      <c r="K20" s="22">
        <v>0.56999999999999995</v>
      </c>
      <c r="L20" s="22">
        <v>0.54</v>
      </c>
      <c r="M20" s="22">
        <v>0.51</v>
      </c>
      <c r="N20" s="22">
        <v>0.5</v>
      </c>
      <c r="O20" s="22">
        <v>0.47</v>
      </c>
      <c r="P20" s="23">
        <v>85</v>
      </c>
      <c r="Q20" s="23">
        <v>0</v>
      </c>
      <c r="R20" s="24">
        <v>85</v>
      </c>
      <c r="S20" s="24">
        <v>85</v>
      </c>
      <c r="T20" s="24">
        <v>85</v>
      </c>
      <c r="U20" s="24">
        <v>85</v>
      </c>
      <c r="V20" s="24">
        <v>85</v>
      </c>
      <c r="W20" s="24">
        <v>85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6">
        <v>0</v>
      </c>
      <c r="AJ20" s="27">
        <v>0</v>
      </c>
      <c r="AK20" s="27">
        <v>0</v>
      </c>
      <c r="AL20" s="27">
        <v>0</v>
      </c>
      <c r="AM20" s="27">
        <v>0</v>
      </c>
      <c r="AN20" s="27">
        <v>0</v>
      </c>
      <c r="AO20" s="27">
        <v>0</v>
      </c>
      <c r="AP20" s="28">
        <v>10296.9</v>
      </c>
      <c r="AQ20" s="28">
        <v>11526</v>
      </c>
      <c r="AR20" s="28">
        <v>11531.1</v>
      </c>
      <c r="AS20" s="28">
        <v>11566.8</v>
      </c>
      <c r="AT20" s="28">
        <v>11515.8</v>
      </c>
      <c r="AU20" s="28">
        <v>11612.7</v>
      </c>
      <c r="AV20" s="29">
        <v>12114</v>
      </c>
      <c r="AW20" s="29">
        <v>13560</v>
      </c>
      <c r="AX20" s="29">
        <v>13566</v>
      </c>
      <c r="AY20" s="29">
        <v>13608</v>
      </c>
      <c r="AZ20" s="29">
        <v>13548</v>
      </c>
      <c r="BA20" s="29">
        <v>13662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</row>
    <row r="21" spans="1:59" ht="15.75" thickBot="1" x14ac:dyDescent="0.3">
      <c r="A21" s="19" t="s">
        <v>441</v>
      </c>
      <c r="B21" s="19" t="s">
        <v>442</v>
      </c>
      <c r="C21" s="20">
        <v>1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1">
        <v>2</v>
      </c>
      <c r="J21" s="22">
        <v>0.69</v>
      </c>
      <c r="K21" s="22">
        <v>0.56999999999999995</v>
      </c>
      <c r="L21" s="22">
        <v>0.54</v>
      </c>
      <c r="M21" s="22">
        <v>0.51</v>
      </c>
      <c r="N21" s="22">
        <v>0.5</v>
      </c>
      <c r="O21" s="22">
        <v>0.47</v>
      </c>
      <c r="P21" s="23">
        <v>85</v>
      </c>
      <c r="Q21" s="23">
        <v>0</v>
      </c>
      <c r="R21" s="24">
        <v>85</v>
      </c>
      <c r="S21" s="24">
        <v>85</v>
      </c>
      <c r="T21" s="24">
        <v>85</v>
      </c>
      <c r="U21" s="24">
        <v>85</v>
      </c>
      <c r="V21" s="24">
        <v>85</v>
      </c>
      <c r="W21" s="24">
        <v>85</v>
      </c>
      <c r="X21" s="25">
        <v>1.19</v>
      </c>
      <c r="Y21" s="25">
        <v>0.27</v>
      </c>
      <c r="Z21" s="25">
        <v>0.22</v>
      </c>
      <c r="AA21" s="25">
        <v>0.18</v>
      </c>
      <c r="AB21" s="25">
        <v>0.14000000000000001</v>
      </c>
      <c r="AC21" s="25">
        <v>0.11</v>
      </c>
      <c r="AD21" s="26">
        <v>1.01</v>
      </c>
      <c r="AE21" s="26">
        <v>0.23</v>
      </c>
      <c r="AF21" s="26">
        <v>0.19</v>
      </c>
      <c r="AG21" s="26">
        <v>0.15</v>
      </c>
      <c r="AH21" s="26">
        <v>0.12</v>
      </c>
      <c r="AI21" s="26">
        <v>0.1</v>
      </c>
      <c r="AJ21" s="27">
        <v>122.1</v>
      </c>
      <c r="AK21" s="27">
        <v>30.74</v>
      </c>
      <c r="AL21" s="27">
        <v>25.62</v>
      </c>
      <c r="AM21" s="27">
        <v>20.64</v>
      </c>
      <c r="AN21" s="27">
        <v>15.8</v>
      </c>
      <c r="AO21" s="27">
        <v>13.33</v>
      </c>
      <c r="AP21" s="28">
        <v>10296.9</v>
      </c>
      <c r="AQ21" s="28">
        <v>11526</v>
      </c>
      <c r="AR21" s="28">
        <v>11531.1</v>
      </c>
      <c r="AS21" s="28">
        <v>11566.8</v>
      </c>
      <c r="AT21" s="28">
        <v>11515.8</v>
      </c>
      <c r="AU21" s="28">
        <v>11612.7</v>
      </c>
      <c r="AV21" s="29">
        <v>12114</v>
      </c>
      <c r="AW21" s="29">
        <v>13560</v>
      </c>
      <c r="AX21" s="29">
        <v>13566</v>
      </c>
      <c r="AY21" s="29">
        <v>13608</v>
      </c>
      <c r="AZ21" s="29">
        <v>13548</v>
      </c>
      <c r="BA21" s="29">
        <v>13662</v>
      </c>
      <c r="BB21" s="30">
        <v>1028508</v>
      </c>
      <c r="BC21" s="30">
        <v>262919</v>
      </c>
      <c r="BD21" s="30">
        <v>222470</v>
      </c>
      <c r="BE21" s="30">
        <v>182021</v>
      </c>
      <c r="BF21" s="30">
        <v>141572</v>
      </c>
      <c r="BG21" s="30">
        <v>121347</v>
      </c>
    </row>
    <row r="22" spans="1:59" ht="15.75" thickBot="1" x14ac:dyDescent="0.3">
      <c r="A22" s="19" t="s">
        <v>443</v>
      </c>
      <c r="B22" s="19" t="s">
        <v>444</v>
      </c>
      <c r="C22" s="20">
        <v>1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1">
        <v>2</v>
      </c>
      <c r="J22" s="22">
        <v>0.69</v>
      </c>
      <c r="K22" s="22">
        <v>0.56999999999999995</v>
      </c>
      <c r="L22" s="22">
        <v>0.54</v>
      </c>
      <c r="M22" s="22">
        <v>0.51</v>
      </c>
      <c r="N22" s="22">
        <v>0.5</v>
      </c>
      <c r="O22" s="22">
        <v>0.47</v>
      </c>
      <c r="P22" s="23">
        <v>85</v>
      </c>
      <c r="Q22" s="23">
        <v>0</v>
      </c>
      <c r="R22" s="24">
        <v>85</v>
      </c>
      <c r="S22" s="24">
        <v>85</v>
      </c>
      <c r="T22" s="24">
        <v>85</v>
      </c>
      <c r="U22" s="24">
        <v>85</v>
      </c>
      <c r="V22" s="24">
        <v>85</v>
      </c>
      <c r="W22" s="24">
        <v>85</v>
      </c>
      <c r="X22" s="25">
        <v>0.93</v>
      </c>
      <c r="Y22" s="25">
        <v>0.62</v>
      </c>
      <c r="Z22" s="25">
        <v>0.52</v>
      </c>
      <c r="AA22" s="25">
        <v>0.41</v>
      </c>
      <c r="AB22" s="25">
        <v>0.32</v>
      </c>
      <c r="AC22" s="25">
        <v>0.27</v>
      </c>
      <c r="AD22" s="26">
        <v>0.79</v>
      </c>
      <c r="AE22" s="26">
        <v>0.53</v>
      </c>
      <c r="AF22" s="26">
        <v>0.44</v>
      </c>
      <c r="AG22" s="26">
        <v>0.35</v>
      </c>
      <c r="AH22" s="26">
        <v>0.27</v>
      </c>
      <c r="AI22" s="26">
        <v>0.23</v>
      </c>
      <c r="AJ22" s="27">
        <v>95.5</v>
      </c>
      <c r="AK22" s="27">
        <v>71.349999999999994</v>
      </c>
      <c r="AL22" s="27">
        <v>59.45</v>
      </c>
      <c r="AM22" s="27">
        <v>47.89</v>
      </c>
      <c r="AN22" s="27">
        <v>36.659999999999997</v>
      </c>
      <c r="AO22" s="27">
        <v>30.92</v>
      </c>
      <c r="AP22" s="28">
        <v>10296.9</v>
      </c>
      <c r="AQ22" s="28">
        <v>11526</v>
      </c>
      <c r="AR22" s="28">
        <v>11531.1</v>
      </c>
      <c r="AS22" s="28">
        <v>11566.8</v>
      </c>
      <c r="AT22" s="28">
        <v>11515.8</v>
      </c>
      <c r="AU22" s="28">
        <v>11612.7</v>
      </c>
      <c r="AV22" s="29">
        <v>12114</v>
      </c>
      <c r="AW22" s="29">
        <v>13560</v>
      </c>
      <c r="AX22" s="29">
        <v>13566</v>
      </c>
      <c r="AY22" s="29">
        <v>13608</v>
      </c>
      <c r="AZ22" s="29">
        <v>13548</v>
      </c>
      <c r="BA22" s="29">
        <v>13662</v>
      </c>
      <c r="BB22" s="30">
        <v>955022</v>
      </c>
      <c r="BC22" s="30">
        <v>724329</v>
      </c>
      <c r="BD22" s="30">
        <v>612894</v>
      </c>
      <c r="BE22" s="30">
        <v>501458</v>
      </c>
      <c r="BF22" s="30">
        <v>390023</v>
      </c>
      <c r="BG22" s="30">
        <v>334306</v>
      </c>
    </row>
    <row r="23" spans="1:59" ht="15.75" thickBot="1" x14ac:dyDescent="0.3">
      <c r="A23" s="19" t="s">
        <v>445</v>
      </c>
      <c r="B23" s="19" t="s">
        <v>446</v>
      </c>
      <c r="C23" s="20">
        <v>1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1">
        <v>2</v>
      </c>
      <c r="J23" s="22">
        <v>0.69</v>
      </c>
      <c r="K23" s="22">
        <v>0.56999999999999995</v>
      </c>
      <c r="L23" s="22">
        <v>0.54</v>
      </c>
      <c r="M23" s="22">
        <v>0.51</v>
      </c>
      <c r="N23" s="22">
        <v>0.5</v>
      </c>
      <c r="O23" s="22">
        <v>0.47</v>
      </c>
      <c r="P23" s="23">
        <v>85</v>
      </c>
      <c r="Q23" s="23">
        <v>0</v>
      </c>
      <c r="R23" s="24">
        <v>85</v>
      </c>
      <c r="S23" s="24">
        <v>85</v>
      </c>
      <c r="T23" s="24">
        <v>85</v>
      </c>
      <c r="U23" s="24">
        <v>85</v>
      </c>
      <c r="V23" s="24">
        <v>85</v>
      </c>
      <c r="W23" s="24">
        <v>85</v>
      </c>
      <c r="X23" s="25">
        <v>0.01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6">
        <v>0.01</v>
      </c>
      <c r="AE23" s="26">
        <v>0</v>
      </c>
      <c r="AF23" s="26">
        <v>0</v>
      </c>
      <c r="AG23" s="26">
        <v>0</v>
      </c>
      <c r="AH23" s="26">
        <v>0</v>
      </c>
      <c r="AI23" s="26">
        <v>0</v>
      </c>
      <c r="AJ23" s="27">
        <v>1.4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8">
        <v>10296.9</v>
      </c>
      <c r="AQ23" s="28">
        <v>11526</v>
      </c>
      <c r="AR23" s="28">
        <v>11531.1</v>
      </c>
      <c r="AS23" s="28">
        <v>11566.8</v>
      </c>
      <c r="AT23" s="28">
        <v>11515.8</v>
      </c>
      <c r="AU23" s="28">
        <v>11612.7</v>
      </c>
      <c r="AV23" s="29">
        <v>12114</v>
      </c>
      <c r="AW23" s="29">
        <v>13560</v>
      </c>
      <c r="AX23" s="29">
        <v>13566</v>
      </c>
      <c r="AY23" s="29">
        <v>13608</v>
      </c>
      <c r="AZ23" s="29">
        <v>13548</v>
      </c>
      <c r="BA23" s="29">
        <v>13662</v>
      </c>
      <c r="BB23" s="30">
        <v>15000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</row>
    <row r="24" spans="1:59" ht="15.75" thickBot="1" x14ac:dyDescent="0.3">
      <c r="A24" s="19" t="s">
        <v>447</v>
      </c>
      <c r="B24" s="19" t="s">
        <v>375</v>
      </c>
      <c r="C24" s="20">
        <v>1</v>
      </c>
      <c r="D24" s="20">
        <v>1</v>
      </c>
      <c r="E24" s="20">
        <v>1</v>
      </c>
      <c r="F24" s="20">
        <v>1</v>
      </c>
      <c r="G24" s="20">
        <v>1</v>
      </c>
      <c r="H24" s="20">
        <v>1</v>
      </c>
      <c r="I24" s="21">
        <v>2</v>
      </c>
      <c r="J24" s="22">
        <v>0.69</v>
      </c>
      <c r="K24" s="22">
        <v>0.56999999999999995</v>
      </c>
      <c r="L24" s="22">
        <v>0.54</v>
      </c>
      <c r="M24" s="22">
        <v>0.51</v>
      </c>
      <c r="N24" s="22">
        <v>0.5</v>
      </c>
      <c r="O24" s="22">
        <v>0.47</v>
      </c>
      <c r="P24" s="23">
        <v>85</v>
      </c>
      <c r="Q24" s="23">
        <v>0</v>
      </c>
      <c r="R24" s="24">
        <v>85</v>
      </c>
      <c r="S24" s="24">
        <v>85</v>
      </c>
      <c r="T24" s="24">
        <v>85</v>
      </c>
      <c r="U24" s="24">
        <v>85</v>
      </c>
      <c r="V24" s="24">
        <v>85</v>
      </c>
      <c r="W24" s="24">
        <v>85</v>
      </c>
      <c r="X24" s="25">
        <v>0.13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6">
        <v>0.11</v>
      </c>
      <c r="AE24" s="26">
        <v>0</v>
      </c>
      <c r="AF24" s="26">
        <v>0</v>
      </c>
      <c r="AG24" s="26">
        <v>0</v>
      </c>
      <c r="AH24" s="26">
        <v>0</v>
      </c>
      <c r="AI24" s="26">
        <v>0</v>
      </c>
      <c r="AJ24" s="27">
        <v>13.26</v>
      </c>
      <c r="AK24" s="27">
        <v>0</v>
      </c>
      <c r="AL24" s="27">
        <v>0</v>
      </c>
      <c r="AM24" s="27">
        <v>0</v>
      </c>
      <c r="AN24" s="27">
        <v>0</v>
      </c>
      <c r="AO24" s="27">
        <v>0</v>
      </c>
      <c r="AP24" s="28">
        <v>10296.9</v>
      </c>
      <c r="AQ24" s="28">
        <v>11526</v>
      </c>
      <c r="AR24" s="28">
        <v>11531.1</v>
      </c>
      <c r="AS24" s="28">
        <v>11566.8</v>
      </c>
      <c r="AT24" s="28">
        <v>11515.8</v>
      </c>
      <c r="AU24" s="28">
        <v>11612.7</v>
      </c>
      <c r="AV24" s="29">
        <v>12114</v>
      </c>
      <c r="AW24" s="29">
        <v>13560</v>
      </c>
      <c r="AX24" s="29">
        <v>13566</v>
      </c>
      <c r="AY24" s="29">
        <v>13608</v>
      </c>
      <c r="AZ24" s="29">
        <v>13548</v>
      </c>
      <c r="BA24" s="29">
        <v>13662</v>
      </c>
      <c r="BB24" s="30">
        <v>424367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</row>
    <row r="25" spans="1:59" ht="15.75" thickBot="1" x14ac:dyDescent="0.3">
      <c r="A25" s="19" t="s">
        <v>448</v>
      </c>
      <c r="B25" s="19" t="s">
        <v>375</v>
      </c>
      <c r="C25" s="20">
        <v>1</v>
      </c>
      <c r="D25" s="20">
        <v>1</v>
      </c>
      <c r="E25" s="20">
        <v>1</v>
      </c>
      <c r="F25" s="20">
        <v>1</v>
      </c>
      <c r="G25" s="20">
        <v>1</v>
      </c>
      <c r="H25" s="20">
        <v>1</v>
      </c>
      <c r="I25" s="21">
        <v>2</v>
      </c>
      <c r="J25" s="22">
        <v>0.69</v>
      </c>
      <c r="K25" s="22">
        <v>0.56999999999999995</v>
      </c>
      <c r="L25" s="22">
        <v>0.54</v>
      </c>
      <c r="M25" s="22">
        <v>0.51</v>
      </c>
      <c r="N25" s="22">
        <v>0.5</v>
      </c>
      <c r="O25" s="22">
        <v>0.47</v>
      </c>
      <c r="P25" s="23">
        <v>85</v>
      </c>
      <c r="Q25" s="23">
        <v>0</v>
      </c>
      <c r="R25" s="24">
        <v>85</v>
      </c>
      <c r="S25" s="24">
        <v>85</v>
      </c>
      <c r="T25" s="24">
        <v>85</v>
      </c>
      <c r="U25" s="24">
        <v>85</v>
      </c>
      <c r="V25" s="24">
        <v>85</v>
      </c>
      <c r="W25" s="24">
        <v>85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  <c r="AI25" s="26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0</v>
      </c>
      <c r="AO25" s="27">
        <v>0</v>
      </c>
      <c r="AP25" s="28">
        <v>10296.9</v>
      </c>
      <c r="AQ25" s="28">
        <v>11526</v>
      </c>
      <c r="AR25" s="28">
        <v>11531.1</v>
      </c>
      <c r="AS25" s="28">
        <v>11566.8</v>
      </c>
      <c r="AT25" s="28">
        <v>11515.8</v>
      </c>
      <c r="AU25" s="28">
        <v>11612.7</v>
      </c>
      <c r="AV25" s="29">
        <v>12114</v>
      </c>
      <c r="AW25" s="29">
        <v>13560</v>
      </c>
      <c r="AX25" s="29">
        <v>13566</v>
      </c>
      <c r="AY25" s="29">
        <v>13608</v>
      </c>
      <c r="AZ25" s="29">
        <v>13548</v>
      </c>
      <c r="BA25" s="29">
        <v>13662</v>
      </c>
      <c r="BB25" s="30">
        <v>0</v>
      </c>
      <c r="BC25" s="30">
        <v>0</v>
      </c>
      <c r="BD25" s="30">
        <v>0</v>
      </c>
      <c r="BE25" s="30">
        <v>0</v>
      </c>
      <c r="BF25" s="30">
        <v>0</v>
      </c>
      <c r="BG25" s="30">
        <v>0</v>
      </c>
    </row>
    <row r="26" spans="1:59" ht="15.75" thickBot="1" x14ac:dyDescent="0.3">
      <c r="A26" s="19" t="s">
        <v>449</v>
      </c>
      <c r="B26" s="19" t="s">
        <v>450</v>
      </c>
      <c r="C26" s="20">
        <v>1</v>
      </c>
      <c r="D26" s="20">
        <v>1</v>
      </c>
      <c r="E26" s="20">
        <v>1</v>
      </c>
      <c r="F26" s="20">
        <v>1</v>
      </c>
      <c r="G26" s="20">
        <v>1</v>
      </c>
      <c r="H26" s="20">
        <v>1</v>
      </c>
      <c r="I26" s="21">
        <v>2</v>
      </c>
      <c r="J26" s="22">
        <v>0.69</v>
      </c>
      <c r="K26" s="22">
        <v>0.56999999999999995</v>
      </c>
      <c r="L26" s="22">
        <v>0.54</v>
      </c>
      <c r="M26" s="22">
        <v>0.51</v>
      </c>
      <c r="N26" s="22">
        <v>0.5</v>
      </c>
      <c r="O26" s="22">
        <v>0.47</v>
      </c>
      <c r="P26" s="23">
        <v>85</v>
      </c>
      <c r="Q26" s="23">
        <v>0</v>
      </c>
      <c r="R26" s="24">
        <v>85</v>
      </c>
      <c r="S26" s="24">
        <v>85</v>
      </c>
      <c r="T26" s="24">
        <v>85</v>
      </c>
      <c r="U26" s="24">
        <v>85</v>
      </c>
      <c r="V26" s="24">
        <v>85</v>
      </c>
      <c r="W26" s="24">
        <v>85</v>
      </c>
      <c r="X26" s="25">
        <v>1.44</v>
      </c>
      <c r="Y26" s="25">
        <v>0.97</v>
      </c>
      <c r="Z26" s="25">
        <v>0.81</v>
      </c>
      <c r="AA26" s="25">
        <v>0.65</v>
      </c>
      <c r="AB26" s="25">
        <v>0.5</v>
      </c>
      <c r="AC26" s="25">
        <v>0.42</v>
      </c>
      <c r="AD26" s="26">
        <v>1.23</v>
      </c>
      <c r="AE26" s="26">
        <v>0.82</v>
      </c>
      <c r="AF26" s="26">
        <v>0.68</v>
      </c>
      <c r="AG26" s="26">
        <v>0.55000000000000004</v>
      </c>
      <c r="AH26" s="26">
        <v>0.42</v>
      </c>
      <c r="AI26" s="26">
        <v>0.35</v>
      </c>
      <c r="AJ26" s="27">
        <v>148.61000000000001</v>
      </c>
      <c r="AK26" s="27">
        <v>111.4</v>
      </c>
      <c r="AL26" s="27">
        <v>92.83</v>
      </c>
      <c r="AM26" s="27">
        <v>74.77</v>
      </c>
      <c r="AN26" s="27">
        <v>57.24</v>
      </c>
      <c r="AO26" s="27">
        <v>48.28</v>
      </c>
      <c r="AP26" s="28">
        <v>10296.9</v>
      </c>
      <c r="AQ26" s="28">
        <v>11526</v>
      </c>
      <c r="AR26" s="28">
        <v>11531.1</v>
      </c>
      <c r="AS26" s="28">
        <v>11566.8</v>
      </c>
      <c r="AT26" s="28">
        <v>11515.8</v>
      </c>
      <c r="AU26" s="28">
        <v>11612.7</v>
      </c>
      <c r="AV26" s="29">
        <v>12114</v>
      </c>
      <c r="AW26" s="29">
        <v>13560</v>
      </c>
      <c r="AX26" s="29">
        <v>13566</v>
      </c>
      <c r="AY26" s="29">
        <v>13608</v>
      </c>
      <c r="AZ26" s="29">
        <v>13548</v>
      </c>
      <c r="BA26" s="29">
        <v>13662</v>
      </c>
      <c r="BB26" s="30">
        <v>1588560</v>
      </c>
      <c r="BC26" s="30">
        <v>1208953</v>
      </c>
      <c r="BD26" s="30">
        <v>1022960</v>
      </c>
      <c r="BE26" s="30">
        <v>836968</v>
      </c>
      <c r="BF26" s="30">
        <v>650975</v>
      </c>
      <c r="BG26" s="30">
        <v>557978</v>
      </c>
    </row>
    <row r="27" spans="1:59" ht="15.75" thickBot="1" x14ac:dyDescent="0.3">
      <c r="A27" s="19" t="s">
        <v>451</v>
      </c>
      <c r="B27" s="19" t="s">
        <v>375</v>
      </c>
      <c r="C27" s="20">
        <v>1</v>
      </c>
      <c r="D27" s="20">
        <v>1</v>
      </c>
      <c r="E27" s="20">
        <v>1</v>
      </c>
      <c r="F27" s="20">
        <v>1</v>
      </c>
      <c r="G27" s="20">
        <v>1</v>
      </c>
      <c r="H27" s="20">
        <v>1</v>
      </c>
      <c r="I27" s="21">
        <v>2</v>
      </c>
      <c r="J27" s="22">
        <v>0.69</v>
      </c>
      <c r="K27" s="22">
        <v>0.56999999999999995</v>
      </c>
      <c r="L27" s="22">
        <v>0.54</v>
      </c>
      <c r="M27" s="22">
        <v>0.51</v>
      </c>
      <c r="N27" s="22">
        <v>0.5</v>
      </c>
      <c r="O27" s="22">
        <v>0.47</v>
      </c>
      <c r="P27" s="23">
        <v>85</v>
      </c>
      <c r="Q27" s="23">
        <v>0</v>
      </c>
      <c r="R27" s="24">
        <v>85</v>
      </c>
      <c r="S27" s="24">
        <v>85</v>
      </c>
      <c r="T27" s="24">
        <v>85</v>
      </c>
      <c r="U27" s="24">
        <v>85</v>
      </c>
      <c r="V27" s="24">
        <v>85</v>
      </c>
      <c r="W27" s="24">
        <v>85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7">
        <v>0</v>
      </c>
      <c r="AK27" s="27">
        <v>0</v>
      </c>
      <c r="AL27" s="27">
        <v>0</v>
      </c>
      <c r="AM27" s="27">
        <v>0</v>
      </c>
      <c r="AN27" s="27">
        <v>0</v>
      </c>
      <c r="AO27" s="27">
        <v>0</v>
      </c>
      <c r="AP27" s="28">
        <v>10296.9</v>
      </c>
      <c r="AQ27" s="28">
        <v>11526</v>
      </c>
      <c r="AR27" s="28">
        <v>11531.1</v>
      </c>
      <c r="AS27" s="28">
        <v>11566.8</v>
      </c>
      <c r="AT27" s="28">
        <v>11515.8</v>
      </c>
      <c r="AU27" s="28">
        <v>11612.7</v>
      </c>
      <c r="AV27" s="29">
        <v>12114</v>
      </c>
      <c r="AW27" s="29">
        <v>13560</v>
      </c>
      <c r="AX27" s="29">
        <v>13566</v>
      </c>
      <c r="AY27" s="29">
        <v>13608</v>
      </c>
      <c r="AZ27" s="29">
        <v>13548</v>
      </c>
      <c r="BA27" s="29">
        <v>13662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</row>
    <row r="28" spans="1:59" ht="15.75" thickBot="1" x14ac:dyDescent="0.3">
      <c r="A28" s="19" t="s">
        <v>452</v>
      </c>
      <c r="B28" s="19" t="s">
        <v>376</v>
      </c>
      <c r="C28" s="20">
        <v>1</v>
      </c>
      <c r="D28" s="20">
        <v>1</v>
      </c>
      <c r="E28" s="20">
        <v>1</v>
      </c>
      <c r="F28" s="20">
        <v>1</v>
      </c>
      <c r="G28" s="20">
        <v>1</v>
      </c>
      <c r="H28" s="20">
        <v>1</v>
      </c>
      <c r="I28" s="21">
        <v>2</v>
      </c>
      <c r="J28" s="22">
        <v>0.69</v>
      </c>
      <c r="K28" s="22">
        <v>0.56999999999999995</v>
      </c>
      <c r="L28" s="22">
        <v>0.54</v>
      </c>
      <c r="M28" s="22">
        <v>0.51</v>
      </c>
      <c r="N28" s="22">
        <v>0.5</v>
      </c>
      <c r="O28" s="22">
        <v>0.47</v>
      </c>
      <c r="P28" s="23">
        <v>85</v>
      </c>
      <c r="Q28" s="23">
        <v>0</v>
      </c>
      <c r="R28" s="24">
        <v>85</v>
      </c>
      <c r="S28" s="24">
        <v>85</v>
      </c>
      <c r="T28" s="24">
        <v>85</v>
      </c>
      <c r="U28" s="24">
        <v>85</v>
      </c>
      <c r="V28" s="24">
        <v>85</v>
      </c>
      <c r="W28" s="24">
        <v>85</v>
      </c>
      <c r="X28" s="25">
        <v>0.5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6">
        <v>0.42</v>
      </c>
      <c r="AE28" s="26">
        <v>0</v>
      </c>
      <c r="AF28" s="26">
        <v>0</v>
      </c>
      <c r="AG28" s="26">
        <v>0</v>
      </c>
      <c r="AH28" s="26">
        <v>0</v>
      </c>
      <c r="AI28" s="26">
        <v>0</v>
      </c>
      <c r="AJ28" s="27">
        <v>51.03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8">
        <v>10296.9</v>
      </c>
      <c r="AQ28" s="28">
        <v>11526</v>
      </c>
      <c r="AR28" s="28">
        <v>11531.1</v>
      </c>
      <c r="AS28" s="28">
        <v>11566.8</v>
      </c>
      <c r="AT28" s="28">
        <v>11515.8</v>
      </c>
      <c r="AU28" s="28">
        <v>11612.7</v>
      </c>
      <c r="AV28" s="29">
        <v>12114</v>
      </c>
      <c r="AW28" s="29">
        <v>13560</v>
      </c>
      <c r="AX28" s="29">
        <v>13566</v>
      </c>
      <c r="AY28" s="29">
        <v>13608</v>
      </c>
      <c r="AZ28" s="29">
        <v>13548</v>
      </c>
      <c r="BA28" s="29">
        <v>13662</v>
      </c>
      <c r="BB28" s="30">
        <v>1632828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</row>
    <row r="29" spans="1:59" ht="15.75" thickBot="1" x14ac:dyDescent="0.3">
      <c r="A29" s="19" t="s">
        <v>453</v>
      </c>
      <c r="B29" s="19" t="s">
        <v>375</v>
      </c>
      <c r="C29" s="20">
        <v>1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1">
        <v>2</v>
      </c>
      <c r="J29" s="22">
        <v>0.69</v>
      </c>
      <c r="K29" s="22">
        <v>0.56999999999999995</v>
      </c>
      <c r="L29" s="22">
        <v>0.54</v>
      </c>
      <c r="M29" s="22">
        <v>0.51</v>
      </c>
      <c r="N29" s="22">
        <v>0.5</v>
      </c>
      <c r="O29" s="22">
        <v>0.47</v>
      </c>
      <c r="P29" s="23">
        <v>85</v>
      </c>
      <c r="Q29" s="23">
        <v>0</v>
      </c>
      <c r="R29" s="24">
        <v>85</v>
      </c>
      <c r="S29" s="24">
        <v>85</v>
      </c>
      <c r="T29" s="24">
        <v>85</v>
      </c>
      <c r="U29" s="24">
        <v>85</v>
      </c>
      <c r="V29" s="24">
        <v>85</v>
      </c>
      <c r="W29" s="24">
        <v>85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26">
        <v>0</v>
      </c>
      <c r="AJ29" s="27">
        <v>0</v>
      </c>
      <c r="AK29" s="27">
        <v>0</v>
      </c>
      <c r="AL29" s="27">
        <v>0</v>
      </c>
      <c r="AM29" s="27">
        <v>0</v>
      </c>
      <c r="AN29" s="27">
        <v>0</v>
      </c>
      <c r="AO29" s="27">
        <v>0</v>
      </c>
      <c r="AP29" s="28">
        <v>10296.9</v>
      </c>
      <c r="AQ29" s="28">
        <v>11526</v>
      </c>
      <c r="AR29" s="28">
        <v>11531.1</v>
      </c>
      <c r="AS29" s="28">
        <v>11566.8</v>
      </c>
      <c r="AT29" s="28">
        <v>11515.8</v>
      </c>
      <c r="AU29" s="28">
        <v>11612.7</v>
      </c>
      <c r="AV29" s="29">
        <v>12114</v>
      </c>
      <c r="AW29" s="29">
        <v>13560</v>
      </c>
      <c r="AX29" s="29">
        <v>13566</v>
      </c>
      <c r="AY29" s="29">
        <v>13608</v>
      </c>
      <c r="AZ29" s="29">
        <v>13548</v>
      </c>
      <c r="BA29" s="29">
        <v>13662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</row>
    <row r="30" spans="1:59" ht="15.75" thickBot="1" x14ac:dyDescent="0.3">
      <c r="A30" s="19" t="s">
        <v>454</v>
      </c>
      <c r="B30" s="19" t="s">
        <v>375</v>
      </c>
      <c r="C30" s="20">
        <v>1</v>
      </c>
      <c r="D30" s="20">
        <v>1</v>
      </c>
      <c r="E30" s="20">
        <v>1</v>
      </c>
      <c r="F30" s="20">
        <v>1</v>
      </c>
      <c r="G30" s="20">
        <v>1</v>
      </c>
      <c r="H30" s="20">
        <v>1</v>
      </c>
      <c r="I30" s="21">
        <v>2</v>
      </c>
      <c r="J30" s="22">
        <v>0.69</v>
      </c>
      <c r="K30" s="22">
        <v>0.56999999999999995</v>
      </c>
      <c r="L30" s="22">
        <v>0.54</v>
      </c>
      <c r="M30" s="22">
        <v>0.51</v>
      </c>
      <c r="N30" s="22">
        <v>0.5</v>
      </c>
      <c r="O30" s="22">
        <v>0.47</v>
      </c>
      <c r="P30" s="23">
        <v>85</v>
      </c>
      <c r="Q30" s="23">
        <v>0</v>
      </c>
      <c r="R30" s="24">
        <v>85</v>
      </c>
      <c r="S30" s="24">
        <v>85</v>
      </c>
      <c r="T30" s="24">
        <v>85</v>
      </c>
      <c r="U30" s="24">
        <v>85</v>
      </c>
      <c r="V30" s="24">
        <v>85</v>
      </c>
      <c r="W30" s="24">
        <v>85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26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8">
        <v>10296.9</v>
      </c>
      <c r="AQ30" s="28">
        <v>11526</v>
      </c>
      <c r="AR30" s="28">
        <v>11531.1</v>
      </c>
      <c r="AS30" s="28">
        <v>11566.8</v>
      </c>
      <c r="AT30" s="28">
        <v>11515.8</v>
      </c>
      <c r="AU30" s="28">
        <v>11612.7</v>
      </c>
      <c r="AV30" s="29">
        <v>12114</v>
      </c>
      <c r="AW30" s="29">
        <v>13560</v>
      </c>
      <c r="AX30" s="29">
        <v>13566</v>
      </c>
      <c r="AY30" s="29">
        <v>13608</v>
      </c>
      <c r="AZ30" s="29">
        <v>13548</v>
      </c>
      <c r="BA30" s="29">
        <v>13662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</row>
    <row r="31" spans="1:59" ht="15.75" thickBot="1" x14ac:dyDescent="0.3">
      <c r="A31" s="19" t="s">
        <v>455</v>
      </c>
      <c r="B31" s="19" t="s">
        <v>375</v>
      </c>
      <c r="C31" s="20">
        <v>1</v>
      </c>
      <c r="D31" s="20">
        <v>1</v>
      </c>
      <c r="E31" s="20">
        <v>1</v>
      </c>
      <c r="F31" s="20">
        <v>1</v>
      </c>
      <c r="G31" s="20">
        <v>1</v>
      </c>
      <c r="H31" s="20">
        <v>1</v>
      </c>
      <c r="I31" s="21">
        <v>2</v>
      </c>
      <c r="J31" s="22">
        <v>0.69</v>
      </c>
      <c r="K31" s="22">
        <v>0.56999999999999995</v>
      </c>
      <c r="L31" s="22">
        <v>0.54</v>
      </c>
      <c r="M31" s="22">
        <v>0.51</v>
      </c>
      <c r="N31" s="22">
        <v>0.5</v>
      </c>
      <c r="O31" s="22">
        <v>0.47</v>
      </c>
      <c r="P31" s="23">
        <v>85</v>
      </c>
      <c r="Q31" s="23">
        <v>0</v>
      </c>
      <c r="R31" s="24">
        <v>85</v>
      </c>
      <c r="S31" s="24">
        <v>85</v>
      </c>
      <c r="T31" s="24">
        <v>85</v>
      </c>
      <c r="U31" s="24">
        <v>85</v>
      </c>
      <c r="V31" s="24">
        <v>85</v>
      </c>
      <c r="W31" s="24">
        <v>85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8">
        <v>10296.9</v>
      </c>
      <c r="AQ31" s="28">
        <v>11526</v>
      </c>
      <c r="AR31" s="28">
        <v>11531.1</v>
      </c>
      <c r="AS31" s="28">
        <v>11566.8</v>
      </c>
      <c r="AT31" s="28">
        <v>11515.8</v>
      </c>
      <c r="AU31" s="28">
        <v>11612.7</v>
      </c>
      <c r="AV31" s="29">
        <v>12114</v>
      </c>
      <c r="AW31" s="29">
        <v>13560</v>
      </c>
      <c r="AX31" s="29">
        <v>13566</v>
      </c>
      <c r="AY31" s="29">
        <v>13608</v>
      </c>
      <c r="AZ31" s="29">
        <v>13548</v>
      </c>
      <c r="BA31" s="29">
        <v>13662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</row>
    <row r="32" spans="1:59" ht="15.75" thickBot="1" x14ac:dyDescent="0.3">
      <c r="A32" s="19" t="s">
        <v>456</v>
      </c>
      <c r="B32" s="19" t="s">
        <v>377</v>
      </c>
      <c r="C32" s="20">
        <v>1</v>
      </c>
      <c r="D32" s="20">
        <v>1</v>
      </c>
      <c r="E32" s="20">
        <v>1</v>
      </c>
      <c r="F32" s="20">
        <v>1</v>
      </c>
      <c r="G32" s="20">
        <v>1</v>
      </c>
      <c r="H32" s="20">
        <v>1</v>
      </c>
      <c r="I32" s="21">
        <v>2</v>
      </c>
      <c r="J32" s="22">
        <v>0.69</v>
      </c>
      <c r="K32" s="22">
        <v>0.56999999999999995</v>
      </c>
      <c r="L32" s="22">
        <v>0.54</v>
      </c>
      <c r="M32" s="22">
        <v>0.51</v>
      </c>
      <c r="N32" s="22">
        <v>0.5</v>
      </c>
      <c r="O32" s="22">
        <v>0.47</v>
      </c>
      <c r="P32" s="23">
        <v>85</v>
      </c>
      <c r="Q32" s="23">
        <v>0</v>
      </c>
      <c r="R32" s="24">
        <v>85</v>
      </c>
      <c r="S32" s="24">
        <v>85</v>
      </c>
      <c r="T32" s="24">
        <v>85</v>
      </c>
      <c r="U32" s="24">
        <v>85</v>
      </c>
      <c r="V32" s="24">
        <v>85</v>
      </c>
      <c r="W32" s="24">
        <v>85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26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8">
        <v>10296.9</v>
      </c>
      <c r="AQ32" s="28">
        <v>11526</v>
      </c>
      <c r="AR32" s="28">
        <v>11531.1</v>
      </c>
      <c r="AS32" s="28">
        <v>11566.8</v>
      </c>
      <c r="AT32" s="28">
        <v>11515.8</v>
      </c>
      <c r="AU32" s="28">
        <v>11612.7</v>
      </c>
      <c r="AV32" s="29">
        <v>12114</v>
      </c>
      <c r="AW32" s="29">
        <v>13560</v>
      </c>
      <c r="AX32" s="29">
        <v>13566</v>
      </c>
      <c r="AY32" s="29">
        <v>13608</v>
      </c>
      <c r="AZ32" s="29">
        <v>13548</v>
      </c>
      <c r="BA32" s="29">
        <v>13662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</row>
    <row r="33" spans="1:59" ht="15.75" thickBot="1" x14ac:dyDescent="0.3">
      <c r="A33" s="19" t="s">
        <v>457</v>
      </c>
      <c r="B33" s="19" t="s">
        <v>458</v>
      </c>
      <c r="C33" s="20">
        <v>1</v>
      </c>
      <c r="D33" s="20">
        <v>1</v>
      </c>
      <c r="E33" s="20">
        <v>1</v>
      </c>
      <c r="F33" s="20">
        <v>1</v>
      </c>
      <c r="G33" s="20">
        <v>1</v>
      </c>
      <c r="H33" s="20">
        <v>1</v>
      </c>
      <c r="I33" s="21">
        <v>2</v>
      </c>
      <c r="J33" s="22">
        <v>0.69</v>
      </c>
      <c r="K33" s="22">
        <v>0.56999999999999995</v>
      </c>
      <c r="L33" s="22">
        <v>0.54</v>
      </c>
      <c r="M33" s="22">
        <v>0.51</v>
      </c>
      <c r="N33" s="22">
        <v>0.5</v>
      </c>
      <c r="O33" s="22">
        <v>0.47</v>
      </c>
      <c r="P33" s="23">
        <v>85</v>
      </c>
      <c r="Q33" s="23">
        <v>0</v>
      </c>
      <c r="R33" s="24">
        <v>85</v>
      </c>
      <c r="S33" s="24">
        <v>85</v>
      </c>
      <c r="T33" s="24">
        <v>85</v>
      </c>
      <c r="U33" s="24">
        <v>85</v>
      </c>
      <c r="V33" s="24">
        <v>85</v>
      </c>
      <c r="W33" s="24">
        <v>85</v>
      </c>
      <c r="X33" s="25">
        <v>0.61</v>
      </c>
      <c r="Y33" s="25">
        <v>0.36</v>
      </c>
      <c r="Z33" s="25">
        <v>0.3</v>
      </c>
      <c r="AA33" s="25">
        <v>0.24</v>
      </c>
      <c r="AB33" s="25">
        <v>0.18</v>
      </c>
      <c r="AC33" s="25">
        <v>0.15</v>
      </c>
      <c r="AD33" s="26">
        <v>0.52</v>
      </c>
      <c r="AE33" s="26">
        <v>0.31</v>
      </c>
      <c r="AF33" s="26">
        <v>0.25</v>
      </c>
      <c r="AG33" s="26">
        <v>0.2</v>
      </c>
      <c r="AH33" s="26">
        <v>0.16</v>
      </c>
      <c r="AI33" s="26">
        <v>0.13</v>
      </c>
      <c r="AJ33" s="27">
        <v>62.8</v>
      </c>
      <c r="AK33" s="27">
        <v>41.4</v>
      </c>
      <c r="AL33" s="27">
        <v>34.5</v>
      </c>
      <c r="AM33" s="27">
        <v>27.79</v>
      </c>
      <c r="AN33" s="27">
        <v>21.28</v>
      </c>
      <c r="AO33" s="27">
        <v>17.95</v>
      </c>
      <c r="AP33" s="28">
        <v>10296.9</v>
      </c>
      <c r="AQ33" s="28">
        <v>11526</v>
      </c>
      <c r="AR33" s="28">
        <v>11531.1</v>
      </c>
      <c r="AS33" s="28">
        <v>11566.8</v>
      </c>
      <c r="AT33" s="28">
        <v>11515.8</v>
      </c>
      <c r="AU33" s="28">
        <v>11612.7</v>
      </c>
      <c r="AV33" s="29">
        <v>12114</v>
      </c>
      <c r="AW33" s="29">
        <v>13560</v>
      </c>
      <c r="AX33" s="29">
        <v>13566</v>
      </c>
      <c r="AY33" s="29">
        <v>13608</v>
      </c>
      <c r="AZ33" s="29">
        <v>13548</v>
      </c>
      <c r="BA33" s="29">
        <v>13662</v>
      </c>
      <c r="BB33" s="30">
        <v>781290</v>
      </c>
      <c r="BC33" s="30">
        <v>522936</v>
      </c>
      <c r="BD33" s="30">
        <v>442484</v>
      </c>
      <c r="BE33" s="30">
        <v>362033</v>
      </c>
      <c r="BF33" s="30">
        <v>281581</v>
      </c>
      <c r="BG33" s="30">
        <v>241355</v>
      </c>
    </row>
    <row r="34" spans="1:59" ht="15.75" thickBot="1" x14ac:dyDescent="0.3">
      <c r="A34" s="19" t="s">
        <v>459</v>
      </c>
      <c r="B34" s="19" t="s">
        <v>375</v>
      </c>
      <c r="C34" s="20">
        <v>1</v>
      </c>
      <c r="D34" s="20">
        <v>1</v>
      </c>
      <c r="E34" s="20">
        <v>1</v>
      </c>
      <c r="F34" s="20">
        <v>1</v>
      </c>
      <c r="G34" s="20">
        <v>1</v>
      </c>
      <c r="H34" s="20">
        <v>1</v>
      </c>
      <c r="I34" s="21">
        <v>2</v>
      </c>
      <c r="J34" s="22">
        <v>0.69</v>
      </c>
      <c r="K34" s="22">
        <v>0.56999999999999995</v>
      </c>
      <c r="L34" s="22">
        <v>0.54</v>
      </c>
      <c r="M34" s="22">
        <v>0.51</v>
      </c>
      <c r="N34" s="22">
        <v>0.5</v>
      </c>
      <c r="O34" s="22">
        <v>0.47</v>
      </c>
      <c r="P34" s="23">
        <v>85</v>
      </c>
      <c r="Q34" s="23">
        <v>0</v>
      </c>
      <c r="R34" s="24">
        <v>85</v>
      </c>
      <c r="S34" s="24">
        <v>85</v>
      </c>
      <c r="T34" s="24">
        <v>85</v>
      </c>
      <c r="U34" s="24">
        <v>85</v>
      </c>
      <c r="V34" s="24">
        <v>85</v>
      </c>
      <c r="W34" s="24">
        <v>85</v>
      </c>
      <c r="X34" s="25">
        <v>0.22</v>
      </c>
      <c r="Y34" s="25">
        <v>0.17</v>
      </c>
      <c r="Z34" s="25">
        <v>0.14000000000000001</v>
      </c>
      <c r="AA34" s="25">
        <v>0.11</v>
      </c>
      <c r="AB34" s="25">
        <v>0.09</v>
      </c>
      <c r="AC34" s="25">
        <v>7.0000000000000007E-2</v>
      </c>
      <c r="AD34" s="26">
        <v>0.19</v>
      </c>
      <c r="AE34" s="26">
        <v>0.14000000000000001</v>
      </c>
      <c r="AF34" s="26">
        <v>0.12</v>
      </c>
      <c r="AG34" s="26">
        <v>0.09</v>
      </c>
      <c r="AH34" s="26">
        <v>7.0000000000000007E-2</v>
      </c>
      <c r="AI34" s="26">
        <v>0.06</v>
      </c>
      <c r="AJ34" s="27">
        <v>22.47</v>
      </c>
      <c r="AK34" s="27">
        <v>19.07</v>
      </c>
      <c r="AL34" s="27">
        <v>15.89</v>
      </c>
      <c r="AM34" s="27">
        <v>12.8</v>
      </c>
      <c r="AN34" s="27">
        <v>9.8000000000000007</v>
      </c>
      <c r="AO34" s="27">
        <v>8.27</v>
      </c>
      <c r="AP34" s="28">
        <v>10296.9</v>
      </c>
      <c r="AQ34" s="28">
        <v>11526</v>
      </c>
      <c r="AR34" s="28">
        <v>11531.1</v>
      </c>
      <c r="AS34" s="28">
        <v>11566.8</v>
      </c>
      <c r="AT34" s="28">
        <v>11515.8</v>
      </c>
      <c r="AU34" s="28">
        <v>11612.7</v>
      </c>
      <c r="AV34" s="29">
        <v>12114</v>
      </c>
      <c r="AW34" s="29">
        <v>13560</v>
      </c>
      <c r="AX34" s="29">
        <v>13566</v>
      </c>
      <c r="AY34" s="29">
        <v>13608</v>
      </c>
      <c r="AZ34" s="29">
        <v>13548</v>
      </c>
      <c r="BA34" s="29">
        <v>13662</v>
      </c>
      <c r="BB34" s="30">
        <v>719193</v>
      </c>
      <c r="BC34" s="30">
        <v>619632</v>
      </c>
      <c r="BD34" s="30">
        <v>524304</v>
      </c>
      <c r="BE34" s="30">
        <v>428976</v>
      </c>
      <c r="BF34" s="30">
        <v>333648</v>
      </c>
      <c r="BG34" s="30">
        <v>285984</v>
      </c>
    </row>
    <row r="35" spans="1:59" ht="15.75" thickBot="1" x14ac:dyDescent="0.3">
      <c r="A35" s="19" t="s">
        <v>460</v>
      </c>
      <c r="B35" s="19" t="s">
        <v>461</v>
      </c>
      <c r="C35" s="20">
        <v>1</v>
      </c>
      <c r="D35" s="20">
        <v>1</v>
      </c>
      <c r="E35" s="20">
        <v>1</v>
      </c>
      <c r="F35" s="20">
        <v>1</v>
      </c>
      <c r="G35" s="20">
        <v>1</v>
      </c>
      <c r="H35" s="20">
        <v>1</v>
      </c>
      <c r="I35" s="21">
        <v>2</v>
      </c>
      <c r="J35" s="22">
        <v>0.69</v>
      </c>
      <c r="K35" s="22">
        <v>0.56999999999999995</v>
      </c>
      <c r="L35" s="22">
        <v>0.54</v>
      </c>
      <c r="M35" s="22">
        <v>0.51</v>
      </c>
      <c r="N35" s="22">
        <v>0.5</v>
      </c>
      <c r="O35" s="22">
        <v>0.47</v>
      </c>
      <c r="P35" s="23">
        <v>85</v>
      </c>
      <c r="Q35" s="23">
        <v>0</v>
      </c>
      <c r="R35" s="24">
        <v>85</v>
      </c>
      <c r="S35" s="24">
        <v>85</v>
      </c>
      <c r="T35" s="24">
        <v>85</v>
      </c>
      <c r="U35" s="24">
        <v>85</v>
      </c>
      <c r="V35" s="24">
        <v>85</v>
      </c>
      <c r="W35" s="24">
        <v>85</v>
      </c>
      <c r="X35" s="25">
        <v>0.01</v>
      </c>
      <c r="Y35" s="25">
        <v>0.04</v>
      </c>
      <c r="Z35" s="25">
        <v>0.03</v>
      </c>
      <c r="AA35" s="25">
        <v>0.02</v>
      </c>
      <c r="AB35" s="25">
        <v>0.02</v>
      </c>
      <c r="AC35" s="25">
        <v>0.02</v>
      </c>
      <c r="AD35" s="26">
        <v>0.01</v>
      </c>
      <c r="AE35" s="26">
        <v>0.03</v>
      </c>
      <c r="AF35" s="26">
        <v>0.03</v>
      </c>
      <c r="AG35" s="26">
        <v>0.02</v>
      </c>
      <c r="AH35" s="26">
        <v>0.02</v>
      </c>
      <c r="AI35" s="26">
        <v>0.01</v>
      </c>
      <c r="AJ35" s="27">
        <v>1.42</v>
      </c>
      <c r="AK35" s="27">
        <v>4.08</v>
      </c>
      <c r="AL35" s="27">
        <v>3.4</v>
      </c>
      <c r="AM35" s="27">
        <v>2.74</v>
      </c>
      <c r="AN35" s="27">
        <v>2.1</v>
      </c>
      <c r="AO35" s="27">
        <v>1.77</v>
      </c>
      <c r="AP35" s="28">
        <v>10296.9</v>
      </c>
      <c r="AQ35" s="28">
        <v>11526</v>
      </c>
      <c r="AR35" s="28">
        <v>11531.1</v>
      </c>
      <c r="AS35" s="28">
        <v>11566.8</v>
      </c>
      <c r="AT35" s="28">
        <v>11515.8</v>
      </c>
      <c r="AU35" s="28">
        <v>11612.7</v>
      </c>
      <c r="AV35" s="29">
        <v>12114</v>
      </c>
      <c r="AW35" s="29">
        <v>13560</v>
      </c>
      <c r="AX35" s="29">
        <v>13566</v>
      </c>
      <c r="AY35" s="29">
        <v>13608</v>
      </c>
      <c r="AZ35" s="29">
        <v>13548</v>
      </c>
      <c r="BA35" s="29">
        <v>13662</v>
      </c>
      <c r="BB35" s="30">
        <v>15000</v>
      </c>
      <c r="BC35" s="30">
        <v>43831</v>
      </c>
      <c r="BD35" s="30">
        <v>37088</v>
      </c>
      <c r="BE35" s="30">
        <v>30345</v>
      </c>
      <c r="BF35" s="30">
        <v>23602</v>
      </c>
      <c r="BG35" s="30">
        <v>20230</v>
      </c>
    </row>
    <row r="36" spans="1:59" ht="15.75" thickBot="1" x14ac:dyDescent="0.3">
      <c r="A36" s="19" t="s">
        <v>462</v>
      </c>
      <c r="B36" s="19" t="s">
        <v>375</v>
      </c>
      <c r="C36" s="20">
        <v>1</v>
      </c>
      <c r="D36" s="20">
        <v>1</v>
      </c>
      <c r="E36" s="20">
        <v>1</v>
      </c>
      <c r="F36" s="20">
        <v>1</v>
      </c>
      <c r="G36" s="20">
        <v>1</v>
      </c>
      <c r="H36" s="20">
        <v>1</v>
      </c>
      <c r="I36" s="21">
        <v>2</v>
      </c>
      <c r="J36" s="22">
        <v>0.69</v>
      </c>
      <c r="K36" s="22">
        <v>0.56999999999999995</v>
      </c>
      <c r="L36" s="22">
        <v>0.54</v>
      </c>
      <c r="M36" s="22">
        <v>0.51</v>
      </c>
      <c r="N36" s="22">
        <v>0.5</v>
      </c>
      <c r="O36" s="22">
        <v>0.47</v>
      </c>
      <c r="P36" s="23">
        <v>85</v>
      </c>
      <c r="Q36" s="23">
        <v>0</v>
      </c>
      <c r="R36" s="24">
        <v>85</v>
      </c>
      <c r="S36" s="24">
        <v>85</v>
      </c>
      <c r="T36" s="24">
        <v>85</v>
      </c>
      <c r="U36" s="24">
        <v>85</v>
      </c>
      <c r="V36" s="24">
        <v>85</v>
      </c>
      <c r="W36" s="24">
        <v>85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8">
        <v>10296.9</v>
      </c>
      <c r="AQ36" s="28">
        <v>11526</v>
      </c>
      <c r="AR36" s="28">
        <v>11531.1</v>
      </c>
      <c r="AS36" s="28">
        <v>11566.8</v>
      </c>
      <c r="AT36" s="28">
        <v>11515.8</v>
      </c>
      <c r="AU36" s="28">
        <v>11612.7</v>
      </c>
      <c r="AV36" s="29">
        <v>12114</v>
      </c>
      <c r="AW36" s="29">
        <v>13560</v>
      </c>
      <c r="AX36" s="29">
        <v>13566</v>
      </c>
      <c r="AY36" s="29">
        <v>13608</v>
      </c>
      <c r="AZ36" s="29">
        <v>13548</v>
      </c>
      <c r="BA36" s="29">
        <v>13662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</row>
    <row r="37" spans="1:59" ht="15.75" thickBot="1" x14ac:dyDescent="0.3">
      <c r="A37" s="19" t="s">
        <v>463</v>
      </c>
      <c r="B37" s="19" t="s">
        <v>464</v>
      </c>
      <c r="C37" s="20">
        <v>1</v>
      </c>
      <c r="D37" s="20">
        <v>1</v>
      </c>
      <c r="E37" s="20">
        <v>1</v>
      </c>
      <c r="F37" s="20">
        <v>1</v>
      </c>
      <c r="G37" s="20">
        <v>1</v>
      </c>
      <c r="H37" s="20">
        <v>1</v>
      </c>
      <c r="I37" s="21">
        <v>2</v>
      </c>
      <c r="J37" s="22">
        <v>0.69</v>
      </c>
      <c r="K37" s="22">
        <v>0.56999999999999995</v>
      </c>
      <c r="L37" s="22">
        <v>0.54</v>
      </c>
      <c r="M37" s="22">
        <v>0.51</v>
      </c>
      <c r="N37" s="22">
        <v>0.5</v>
      </c>
      <c r="O37" s="22">
        <v>0.47</v>
      </c>
      <c r="P37" s="23">
        <v>85</v>
      </c>
      <c r="Q37" s="23">
        <v>0</v>
      </c>
      <c r="R37" s="24">
        <v>85</v>
      </c>
      <c r="S37" s="24">
        <v>85</v>
      </c>
      <c r="T37" s="24">
        <v>85</v>
      </c>
      <c r="U37" s="24">
        <v>85</v>
      </c>
      <c r="V37" s="24">
        <v>85</v>
      </c>
      <c r="W37" s="24">
        <v>85</v>
      </c>
      <c r="X37" s="25">
        <v>0.08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6">
        <v>7.0000000000000007E-2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7">
        <v>8.33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8">
        <v>10296.9</v>
      </c>
      <c r="AQ37" s="28">
        <v>11526</v>
      </c>
      <c r="AR37" s="28">
        <v>11531.1</v>
      </c>
      <c r="AS37" s="28">
        <v>11566.8</v>
      </c>
      <c r="AT37" s="28">
        <v>11515.8</v>
      </c>
      <c r="AU37" s="28">
        <v>11612.7</v>
      </c>
      <c r="AV37" s="29">
        <v>12114</v>
      </c>
      <c r="AW37" s="29">
        <v>13560</v>
      </c>
      <c r="AX37" s="29">
        <v>13566</v>
      </c>
      <c r="AY37" s="29">
        <v>13608</v>
      </c>
      <c r="AZ37" s="29">
        <v>13548</v>
      </c>
      <c r="BA37" s="29">
        <v>13662</v>
      </c>
      <c r="BB37" s="30">
        <v>100000</v>
      </c>
      <c r="BC37" s="30">
        <v>0</v>
      </c>
      <c r="BD37" s="30">
        <v>0</v>
      </c>
      <c r="BE37" s="30">
        <v>0</v>
      </c>
      <c r="BF37" s="30">
        <v>0</v>
      </c>
      <c r="BG37" s="30">
        <v>0</v>
      </c>
    </row>
    <row r="38" spans="1:59" ht="15.75" thickBot="1" x14ac:dyDescent="0.3">
      <c r="A38" s="19" t="s">
        <v>465</v>
      </c>
      <c r="B38" s="19" t="s">
        <v>378</v>
      </c>
      <c r="C38" s="20">
        <v>1</v>
      </c>
      <c r="D38" s="20">
        <v>1</v>
      </c>
      <c r="E38" s="20">
        <v>1</v>
      </c>
      <c r="F38" s="20">
        <v>1</v>
      </c>
      <c r="G38" s="20">
        <v>1</v>
      </c>
      <c r="H38" s="20">
        <v>1</v>
      </c>
      <c r="I38" s="21">
        <v>2</v>
      </c>
      <c r="J38" s="22">
        <v>0.69</v>
      </c>
      <c r="K38" s="22">
        <v>0.56999999999999995</v>
      </c>
      <c r="L38" s="22">
        <v>0.54</v>
      </c>
      <c r="M38" s="22">
        <v>0.51</v>
      </c>
      <c r="N38" s="22">
        <v>0.5</v>
      </c>
      <c r="O38" s="22">
        <v>0.47</v>
      </c>
      <c r="P38" s="23">
        <v>85</v>
      </c>
      <c r="Q38" s="23">
        <v>0</v>
      </c>
      <c r="R38" s="24">
        <v>85</v>
      </c>
      <c r="S38" s="24">
        <v>85</v>
      </c>
      <c r="T38" s="24">
        <v>85</v>
      </c>
      <c r="U38" s="24">
        <v>85</v>
      </c>
      <c r="V38" s="24">
        <v>85</v>
      </c>
      <c r="W38" s="24">
        <v>85</v>
      </c>
      <c r="X38" s="25">
        <v>0.28000000000000003</v>
      </c>
      <c r="Y38" s="25">
        <v>0.54</v>
      </c>
      <c r="Z38" s="25">
        <v>0.53</v>
      </c>
      <c r="AA38" s="25">
        <v>0.52</v>
      </c>
      <c r="AB38" s="25">
        <v>0.51</v>
      </c>
      <c r="AC38" s="25">
        <v>0.5</v>
      </c>
      <c r="AD38" s="26">
        <v>0.24</v>
      </c>
      <c r="AE38" s="26">
        <v>0.46</v>
      </c>
      <c r="AF38" s="26">
        <v>0.45</v>
      </c>
      <c r="AG38" s="26">
        <v>0.44</v>
      </c>
      <c r="AH38" s="26">
        <v>0.44</v>
      </c>
      <c r="AI38" s="26">
        <v>0.43</v>
      </c>
      <c r="AJ38" s="27">
        <v>29.09</v>
      </c>
      <c r="AK38" s="27">
        <v>61.97</v>
      </c>
      <c r="AL38" s="27">
        <v>61.03</v>
      </c>
      <c r="AM38" s="27">
        <v>60.08</v>
      </c>
      <c r="AN38" s="27">
        <v>59.14</v>
      </c>
      <c r="AO38" s="27">
        <v>58.19</v>
      </c>
      <c r="AP38" s="28">
        <v>10296.9</v>
      </c>
      <c r="AQ38" s="28">
        <v>11526</v>
      </c>
      <c r="AR38" s="28">
        <v>11531.1</v>
      </c>
      <c r="AS38" s="28">
        <v>11566.8</v>
      </c>
      <c r="AT38" s="28">
        <v>11515.8</v>
      </c>
      <c r="AU38" s="28">
        <v>11612.7</v>
      </c>
      <c r="AV38" s="29">
        <v>12114</v>
      </c>
      <c r="AW38" s="29">
        <v>13560</v>
      </c>
      <c r="AX38" s="29">
        <v>13566</v>
      </c>
      <c r="AY38" s="29">
        <v>13608</v>
      </c>
      <c r="AZ38" s="29">
        <v>13548</v>
      </c>
      <c r="BA38" s="29">
        <v>13662</v>
      </c>
      <c r="BB38" s="30">
        <v>48000</v>
      </c>
      <c r="BC38" s="30">
        <v>103806</v>
      </c>
      <c r="BD38" s="30">
        <v>103806</v>
      </c>
      <c r="BE38" s="30">
        <v>103806</v>
      </c>
      <c r="BF38" s="30">
        <v>103806</v>
      </c>
      <c r="BG38" s="30">
        <v>103806</v>
      </c>
    </row>
    <row r="39" spans="1:59" ht="15.75" thickBot="1" x14ac:dyDescent="0.3">
      <c r="A39" s="19" t="s">
        <v>466</v>
      </c>
      <c r="B39" s="19" t="s">
        <v>379</v>
      </c>
      <c r="C39" s="20">
        <v>1</v>
      </c>
      <c r="D39" s="20">
        <v>1</v>
      </c>
      <c r="E39" s="20">
        <v>1</v>
      </c>
      <c r="F39" s="20">
        <v>1</v>
      </c>
      <c r="G39" s="20">
        <v>1</v>
      </c>
      <c r="H39" s="20">
        <v>1</v>
      </c>
      <c r="I39" s="21">
        <v>2</v>
      </c>
      <c r="J39" s="22">
        <v>0.69</v>
      </c>
      <c r="K39" s="22">
        <v>0.56999999999999995</v>
      </c>
      <c r="L39" s="22">
        <v>0.54</v>
      </c>
      <c r="M39" s="22">
        <v>0.51</v>
      </c>
      <c r="N39" s="22">
        <v>0.5</v>
      </c>
      <c r="O39" s="22">
        <v>0.47</v>
      </c>
      <c r="P39" s="23">
        <v>85</v>
      </c>
      <c r="Q39" s="23">
        <v>0</v>
      </c>
      <c r="R39" s="24">
        <v>85</v>
      </c>
      <c r="S39" s="24">
        <v>85</v>
      </c>
      <c r="T39" s="24">
        <v>85</v>
      </c>
      <c r="U39" s="24">
        <v>85</v>
      </c>
      <c r="V39" s="24">
        <v>85</v>
      </c>
      <c r="W39" s="24">
        <v>85</v>
      </c>
      <c r="X39" s="25">
        <v>0</v>
      </c>
      <c r="Y39" s="25">
        <v>0.01</v>
      </c>
      <c r="Z39" s="25">
        <v>0.01</v>
      </c>
      <c r="AA39" s="25">
        <v>0.01</v>
      </c>
      <c r="AB39" s="25">
        <v>0.01</v>
      </c>
      <c r="AC39" s="25">
        <v>0.01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6">
        <v>0</v>
      </c>
      <c r="AJ39" s="27">
        <v>0</v>
      </c>
      <c r="AK39" s="27">
        <v>0.66</v>
      </c>
      <c r="AL39" s="27">
        <v>0.65</v>
      </c>
      <c r="AM39" s="27">
        <v>0.64</v>
      </c>
      <c r="AN39" s="27">
        <v>0.63</v>
      </c>
      <c r="AO39" s="27">
        <v>0.62</v>
      </c>
      <c r="AP39" s="28">
        <v>10296.9</v>
      </c>
      <c r="AQ39" s="28">
        <v>11526</v>
      </c>
      <c r="AR39" s="28">
        <v>11531.1</v>
      </c>
      <c r="AS39" s="28">
        <v>11566.8</v>
      </c>
      <c r="AT39" s="28">
        <v>11515.8</v>
      </c>
      <c r="AU39" s="28">
        <v>11612.7</v>
      </c>
      <c r="AV39" s="29">
        <v>12114</v>
      </c>
      <c r="AW39" s="29">
        <v>13560</v>
      </c>
      <c r="AX39" s="29">
        <v>13566</v>
      </c>
      <c r="AY39" s="29">
        <v>13608</v>
      </c>
      <c r="AZ39" s="29">
        <v>13548</v>
      </c>
      <c r="BA39" s="29">
        <v>13662</v>
      </c>
      <c r="BB39" s="30">
        <v>0</v>
      </c>
      <c r="BC39" s="30">
        <v>1873</v>
      </c>
      <c r="BD39" s="30">
        <v>1873</v>
      </c>
      <c r="BE39" s="30">
        <v>1873</v>
      </c>
      <c r="BF39" s="30">
        <v>1873</v>
      </c>
      <c r="BG39" s="30">
        <v>1873</v>
      </c>
    </row>
    <row r="40" spans="1:59" ht="15.75" thickBot="1" x14ac:dyDescent="0.3">
      <c r="A40" s="19" t="s">
        <v>467</v>
      </c>
      <c r="B40" s="19" t="s">
        <v>380</v>
      </c>
      <c r="C40" s="20">
        <v>1</v>
      </c>
      <c r="D40" s="20">
        <v>1</v>
      </c>
      <c r="E40" s="20">
        <v>1</v>
      </c>
      <c r="F40" s="20">
        <v>1</v>
      </c>
      <c r="G40" s="20">
        <v>1</v>
      </c>
      <c r="H40" s="20">
        <v>1</v>
      </c>
      <c r="I40" s="21">
        <v>2</v>
      </c>
      <c r="J40" s="22">
        <v>0.69</v>
      </c>
      <c r="K40" s="22">
        <v>0.56999999999999995</v>
      </c>
      <c r="L40" s="22">
        <v>0.54</v>
      </c>
      <c r="M40" s="22">
        <v>0.51</v>
      </c>
      <c r="N40" s="22">
        <v>0.5</v>
      </c>
      <c r="O40" s="22">
        <v>0.47</v>
      </c>
      <c r="P40" s="23">
        <v>85</v>
      </c>
      <c r="Q40" s="23">
        <v>0</v>
      </c>
      <c r="R40" s="24">
        <v>85</v>
      </c>
      <c r="S40" s="24">
        <v>85</v>
      </c>
      <c r="T40" s="24">
        <v>85</v>
      </c>
      <c r="U40" s="24">
        <v>85</v>
      </c>
      <c r="V40" s="24">
        <v>85</v>
      </c>
      <c r="W40" s="24">
        <v>85</v>
      </c>
      <c r="X40" s="25">
        <v>0</v>
      </c>
      <c r="Y40" s="25">
        <v>0.02</v>
      </c>
      <c r="Z40" s="25">
        <v>0.02</v>
      </c>
      <c r="AA40" s="25">
        <v>0.02</v>
      </c>
      <c r="AB40" s="25">
        <v>0.02</v>
      </c>
      <c r="AC40" s="25">
        <v>0.02</v>
      </c>
      <c r="AD40" s="26">
        <v>0</v>
      </c>
      <c r="AE40" s="26">
        <v>0.01</v>
      </c>
      <c r="AF40" s="26">
        <v>0.01</v>
      </c>
      <c r="AG40" s="26">
        <v>0.01</v>
      </c>
      <c r="AH40" s="26">
        <v>0.01</v>
      </c>
      <c r="AI40" s="26">
        <v>0.01</v>
      </c>
      <c r="AJ40" s="27">
        <v>0</v>
      </c>
      <c r="AK40" s="27">
        <v>2.0099999999999998</v>
      </c>
      <c r="AL40" s="27">
        <v>1.98</v>
      </c>
      <c r="AM40" s="27">
        <v>1.94</v>
      </c>
      <c r="AN40" s="27">
        <v>1.91</v>
      </c>
      <c r="AO40" s="27">
        <v>1.88</v>
      </c>
      <c r="AP40" s="28">
        <v>10296.9</v>
      </c>
      <c r="AQ40" s="28">
        <v>11526</v>
      </c>
      <c r="AR40" s="28">
        <v>11531.1</v>
      </c>
      <c r="AS40" s="28">
        <v>11566.8</v>
      </c>
      <c r="AT40" s="28">
        <v>11515.8</v>
      </c>
      <c r="AU40" s="28">
        <v>11612.7</v>
      </c>
      <c r="AV40" s="29">
        <v>12114</v>
      </c>
      <c r="AW40" s="29">
        <v>13560</v>
      </c>
      <c r="AX40" s="29">
        <v>13566</v>
      </c>
      <c r="AY40" s="29">
        <v>13608</v>
      </c>
      <c r="AZ40" s="29">
        <v>13548</v>
      </c>
      <c r="BA40" s="29">
        <v>13662</v>
      </c>
      <c r="BB40" s="30">
        <v>0</v>
      </c>
      <c r="BC40" s="30">
        <v>5797</v>
      </c>
      <c r="BD40" s="30">
        <v>5797</v>
      </c>
      <c r="BE40" s="30">
        <v>5797</v>
      </c>
      <c r="BF40" s="30">
        <v>5797</v>
      </c>
      <c r="BG40" s="30">
        <v>5797</v>
      </c>
    </row>
    <row r="41" spans="1:59" ht="15.75" thickBot="1" x14ac:dyDescent="0.3">
      <c r="A41" s="19" t="s">
        <v>336</v>
      </c>
      <c r="B41" s="19" t="s">
        <v>311</v>
      </c>
      <c r="C41" s="20">
        <v>1</v>
      </c>
      <c r="D41" s="20">
        <v>1</v>
      </c>
      <c r="E41" s="20">
        <v>1</v>
      </c>
      <c r="F41" s="20">
        <v>1</v>
      </c>
      <c r="G41" s="20">
        <v>1</v>
      </c>
      <c r="H41" s="20">
        <v>1</v>
      </c>
      <c r="I41" s="21">
        <v>2</v>
      </c>
      <c r="J41" s="22">
        <v>0.69</v>
      </c>
      <c r="K41" s="22">
        <v>0.56999999999999995</v>
      </c>
      <c r="L41" s="22">
        <v>0.54</v>
      </c>
      <c r="M41" s="22">
        <v>0.51</v>
      </c>
      <c r="N41" s="22">
        <v>0.5</v>
      </c>
      <c r="O41" s="22">
        <v>0.47</v>
      </c>
      <c r="P41" s="23">
        <v>85</v>
      </c>
      <c r="Q41" s="23">
        <v>0</v>
      </c>
      <c r="R41" s="24">
        <v>85</v>
      </c>
      <c r="S41" s="24">
        <v>85</v>
      </c>
      <c r="T41" s="24">
        <v>85</v>
      </c>
      <c r="U41" s="24">
        <v>85</v>
      </c>
      <c r="V41" s="24">
        <v>85</v>
      </c>
      <c r="W41" s="24">
        <v>85</v>
      </c>
      <c r="X41" s="25">
        <v>1.06</v>
      </c>
      <c r="Y41" s="25">
        <v>0.46</v>
      </c>
      <c r="Z41" s="25">
        <v>0.45</v>
      </c>
      <c r="AA41" s="25">
        <v>0.44</v>
      </c>
      <c r="AB41" s="25">
        <v>0.44</v>
      </c>
      <c r="AC41" s="25">
        <v>0.43</v>
      </c>
      <c r="AD41" s="26">
        <v>0.9</v>
      </c>
      <c r="AE41" s="26">
        <v>0.39</v>
      </c>
      <c r="AF41" s="26">
        <v>0.38</v>
      </c>
      <c r="AG41" s="26">
        <v>0.38</v>
      </c>
      <c r="AH41" s="26">
        <v>0.37</v>
      </c>
      <c r="AI41" s="26">
        <v>0.36</v>
      </c>
      <c r="AJ41" s="27">
        <v>109.58</v>
      </c>
      <c r="AK41" s="27">
        <v>52.73</v>
      </c>
      <c r="AL41" s="27">
        <v>51.93</v>
      </c>
      <c r="AM41" s="27">
        <v>51.13</v>
      </c>
      <c r="AN41" s="27">
        <v>50.32</v>
      </c>
      <c r="AO41" s="27">
        <v>49.52</v>
      </c>
      <c r="AP41" s="28">
        <v>10296.9</v>
      </c>
      <c r="AQ41" s="28">
        <v>11526</v>
      </c>
      <c r="AR41" s="28">
        <v>11531.1</v>
      </c>
      <c r="AS41" s="28">
        <v>11566.8</v>
      </c>
      <c r="AT41" s="28">
        <v>11515.8</v>
      </c>
      <c r="AU41" s="28">
        <v>11612.7</v>
      </c>
      <c r="AV41" s="29">
        <v>12114</v>
      </c>
      <c r="AW41" s="29">
        <v>13560</v>
      </c>
      <c r="AX41" s="29">
        <v>13566</v>
      </c>
      <c r="AY41" s="29">
        <v>13608</v>
      </c>
      <c r="AZ41" s="29">
        <v>13548</v>
      </c>
      <c r="BA41" s="29">
        <v>13662</v>
      </c>
      <c r="BB41" s="30">
        <v>265728</v>
      </c>
      <c r="BC41" s="30">
        <v>129828</v>
      </c>
      <c r="BD41" s="30">
        <v>129828</v>
      </c>
      <c r="BE41" s="30">
        <v>129828</v>
      </c>
      <c r="BF41" s="30">
        <v>129828</v>
      </c>
      <c r="BG41" s="30">
        <v>129828</v>
      </c>
    </row>
    <row r="42" spans="1:59" ht="15.75" thickBot="1" x14ac:dyDescent="0.3">
      <c r="A42" s="19" t="s">
        <v>468</v>
      </c>
      <c r="B42" s="19" t="s">
        <v>469</v>
      </c>
      <c r="C42" s="20">
        <v>1</v>
      </c>
      <c r="D42" s="20">
        <v>1</v>
      </c>
      <c r="E42" s="20">
        <v>1</v>
      </c>
      <c r="F42" s="20">
        <v>1</v>
      </c>
      <c r="G42" s="20">
        <v>1</v>
      </c>
      <c r="H42" s="20">
        <v>1</v>
      </c>
      <c r="I42" s="21">
        <v>2</v>
      </c>
      <c r="J42" s="22">
        <v>0.69</v>
      </c>
      <c r="K42" s="22">
        <v>0.56999999999999995</v>
      </c>
      <c r="L42" s="22">
        <v>0.54</v>
      </c>
      <c r="M42" s="22">
        <v>0.51</v>
      </c>
      <c r="N42" s="22">
        <v>0.5</v>
      </c>
      <c r="O42" s="22">
        <v>0.47</v>
      </c>
      <c r="P42" s="23">
        <v>85</v>
      </c>
      <c r="Q42" s="23">
        <v>0</v>
      </c>
      <c r="R42" s="24">
        <v>85</v>
      </c>
      <c r="S42" s="24">
        <v>85</v>
      </c>
      <c r="T42" s="24">
        <v>85</v>
      </c>
      <c r="U42" s="24">
        <v>85</v>
      </c>
      <c r="V42" s="24">
        <v>85</v>
      </c>
      <c r="W42" s="24">
        <v>85</v>
      </c>
      <c r="X42" s="25">
        <v>0.42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6">
        <v>0.36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7">
        <v>43.23</v>
      </c>
      <c r="AK42" s="27">
        <v>0</v>
      </c>
      <c r="AL42" s="27">
        <v>0</v>
      </c>
      <c r="AM42" s="27">
        <v>0</v>
      </c>
      <c r="AN42" s="27">
        <v>0</v>
      </c>
      <c r="AO42" s="27">
        <v>0</v>
      </c>
      <c r="AP42" s="28">
        <v>10296.9</v>
      </c>
      <c r="AQ42" s="28">
        <v>11526</v>
      </c>
      <c r="AR42" s="28">
        <v>11531.1</v>
      </c>
      <c r="AS42" s="28">
        <v>11566.8</v>
      </c>
      <c r="AT42" s="28">
        <v>11515.8</v>
      </c>
      <c r="AU42" s="28">
        <v>11612.7</v>
      </c>
      <c r="AV42" s="29">
        <v>12114</v>
      </c>
      <c r="AW42" s="29">
        <v>13560</v>
      </c>
      <c r="AX42" s="29">
        <v>13566</v>
      </c>
      <c r="AY42" s="29">
        <v>13608</v>
      </c>
      <c r="AZ42" s="29">
        <v>13548</v>
      </c>
      <c r="BA42" s="29">
        <v>13662</v>
      </c>
      <c r="BB42" s="30">
        <v>200000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</row>
    <row r="43" spans="1:59" ht="15.75" thickBot="1" x14ac:dyDescent="0.3">
      <c r="A43" s="19" t="s">
        <v>470</v>
      </c>
      <c r="B43" s="19" t="s">
        <v>471</v>
      </c>
      <c r="C43" s="20">
        <v>1</v>
      </c>
      <c r="D43" s="20">
        <v>1</v>
      </c>
      <c r="E43" s="20">
        <v>1</v>
      </c>
      <c r="F43" s="20">
        <v>1</v>
      </c>
      <c r="G43" s="20">
        <v>1</v>
      </c>
      <c r="H43" s="20">
        <v>1</v>
      </c>
      <c r="I43" s="21">
        <v>2</v>
      </c>
      <c r="J43" s="22">
        <v>0.69</v>
      </c>
      <c r="K43" s="22">
        <v>0.56999999999999995</v>
      </c>
      <c r="L43" s="22">
        <v>0.54</v>
      </c>
      <c r="M43" s="22">
        <v>0.51</v>
      </c>
      <c r="N43" s="22">
        <v>0.5</v>
      </c>
      <c r="O43" s="22">
        <v>0.47</v>
      </c>
      <c r="P43" s="23">
        <v>85</v>
      </c>
      <c r="Q43" s="23">
        <v>0</v>
      </c>
      <c r="R43" s="24">
        <v>85</v>
      </c>
      <c r="S43" s="24">
        <v>85</v>
      </c>
      <c r="T43" s="24">
        <v>85</v>
      </c>
      <c r="U43" s="24">
        <v>85</v>
      </c>
      <c r="V43" s="24">
        <v>85</v>
      </c>
      <c r="W43" s="24">
        <v>85</v>
      </c>
      <c r="X43" s="25">
        <v>0.4</v>
      </c>
      <c r="Y43" s="25">
        <v>0.1</v>
      </c>
      <c r="Z43" s="25">
        <v>0.08</v>
      </c>
      <c r="AA43" s="25">
        <v>0.06</v>
      </c>
      <c r="AB43" s="25">
        <v>0.05</v>
      </c>
      <c r="AC43" s="25">
        <v>0.04</v>
      </c>
      <c r="AD43" s="26">
        <v>0.34</v>
      </c>
      <c r="AE43" s="26">
        <v>0.08</v>
      </c>
      <c r="AF43" s="26">
        <v>7.0000000000000007E-2</v>
      </c>
      <c r="AG43" s="26">
        <v>0.05</v>
      </c>
      <c r="AH43" s="26">
        <v>0.04</v>
      </c>
      <c r="AI43" s="26">
        <v>0.03</v>
      </c>
      <c r="AJ43" s="27">
        <v>41.5</v>
      </c>
      <c r="AK43" s="27">
        <v>11</v>
      </c>
      <c r="AL43" s="27">
        <v>9.16</v>
      </c>
      <c r="AM43" s="27">
        <v>7.38</v>
      </c>
      <c r="AN43" s="27">
        <v>5.65</v>
      </c>
      <c r="AO43" s="27">
        <v>4.7699999999999996</v>
      </c>
      <c r="AP43" s="28">
        <v>10296.9</v>
      </c>
      <c r="AQ43" s="28">
        <v>11526</v>
      </c>
      <c r="AR43" s="28">
        <v>11531.1</v>
      </c>
      <c r="AS43" s="28">
        <v>11566.8</v>
      </c>
      <c r="AT43" s="28">
        <v>11515.8</v>
      </c>
      <c r="AU43" s="28">
        <v>11612.7</v>
      </c>
      <c r="AV43" s="29">
        <v>12114</v>
      </c>
      <c r="AW43" s="29">
        <v>13560</v>
      </c>
      <c r="AX43" s="29">
        <v>13566</v>
      </c>
      <c r="AY43" s="29">
        <v>13608</v>
      </c>
      <c r="AZ43" s="29">
        <v>13548</v>
      </c>
      <c r="BA43" s="29">
        <v>13662</v>
      </c>
      <c r="BB43" s="30">
        <v>376477</v>
      </c>
      <c r="BC43" s="30">
        <v>101267</v>
      </c>
      <c r="BD43" s="30">
        <v>85687</v>
      </c>
      <c r="BE43" s="30">
        <v>70108</v>
      </c>
      <c r="BF43" s="30">
        <v>54528</v>
      </c>
      <c r="BG43" s="30">
        <v>46739</v>
      </c>
    </row>
    <row r="44" spans="1:59" ht="15.75" thickBot="1" x14ac:dyDescent="0.3">
      <c r="A44" s="19" t="s">
        <v>472</v>
      </c>
      <c r="B44" s="19" t="s">
        <v>473</v>
      </c>
      <c r="C44" s="20">
        <v>1</v>
      </c>
      <c r="D44" s="20">
        <v>1</v>
      </c>
      <c r="E44" s="20">
        <v>1</v>
      </c>
      <c r="F44" s="20">
        <v>1</v>
      </c>
      <c r="G44" s="20">
        <v>1</v>
      </c>
      <c r="H44" s="20">
        <v>1</v>
      </c>
      <c r="I44" s="21">
        <v>2</v>
      </c>
      <c r="J44" s="22">
        <v>0.69</v>
      </c>
      <c r="K44" s="22">
        <v>0.56999999999999995</v>
      </c>
      <c r="L44" s="22">
        <v>0.54</v>
      </c>
      <c r="M44" s="22">
        <v>0.51</v>
      </c>
      <c r="N44" s="22">
        <v>0.5</v>
      </c>
      <c r="O44" s="22">
        <v>0.47</v>
      </c>
      <c r="P44" s="23">
        <v>85</v>
      </c>
      <c r="Q44" s="23">
        <v>0</v>
      </c>
      <c r="R44" s="24">
        <v>85</v>
      </c>
      <c r="S44" s="24">
        <v>85</v>
      </c>
      <c r="T44" s="24">
        <v>85</v>
      </c>
      <c r="U44" s="24">
        <v>85</v>
      </c>
      <c r="V44" s="24">
        <v>85</v>
      </c>
      <c r="W44" s="24">
        <v>85</v>
      </c>
      <c r="X44" s="25">
        <v>0.45</v>
      </c>
      <c r="Y44" s="25">
        <v>0.19</v>
      </c>
      <c r="Z44" s="25">
        <v>0.16</v>
      </c>
      <c r="AA44" s="25">
        <v>0.13</v>
      </c>
      <c r="AB44" s="25">
        <v>0.1</v>
      </c>
      <c r="AC44" s="25">
        <v>0.08</v>
      </c>
      <c r="AD44" s="26">
        <v>0.38</v>
      </c>
      <c r="AE44" s="26">
        <v>0.16</v>
      </c>
      <c r="AF44" s="26">
        <v>0.14000000000000001</v>
      </c>
      <c r="AG44" s="26">
        <v>0.11</v>
      </c>
      <c r="AH44" s="26">
        <v>0.08</v>
      </c>
      <c r="AI44" s="26">
        <v>7.0000000000000007E-2</v>
      </c>
      <c r="AJ44" s="27">
        <v>46.18</v>
      </c>
      <c r="AK44" s="27">
        <v>22</v>
      </c>
      <c r="AL44" s="27">
        <v>18.329999999999998</v>
      </c>
      <c r="AM44" s="27">
        <v>14.76</v>
      </c>
      <c r="AN44" s="27">
        <v>11.3</v>
      </c>
      <c r="AO44" s="27">
        <v>9.5299999999999994</v>
      </c>
      <c r="AP44" s="28">
        <v>10296.9</v>
      </c>
      <c r="AQ44" s="28">
        <v>11526</v>
      </c>
      <c r="AR44" s="28">
        <v>11531.1</v>
      </c>
      <c r="AS44" s="28">
        <v>11566.8</v>
      </c>
      <c r="AT44" s="28">
        <v>11515.8</v>
      </c>
      <c r="AU44" s="28">
        <v>11612.7</v>
      </c>
      <c r="AV44" s="29">
        <v>12114</v>
      </c>
      <c r="AW44" s="29">
        <v>13560</v>
      </c>
      <c r="AX44" s="29">
        <v>13566</v>
      </c>
      <c r="AY44" s="29">
        <v>13608</v>
      </c>
      <c r="AZ44" s="29">
        <v>13548</v>
      </c>
      <c r="BA44" s="29">
        <v>13662</v>
      </c>
      <c r="BB44" s="30">
        <v>346375</v>
      </c>
      <c r="BC44" s="30">
        <v>167477</v>
      </c>
      <c r="BD44" s="30">
        <v>141711</v>
      </c>
      <c r="BE44" s="30">
        <v>115946</v>
      </c>
      <c r="BF44" s="30">
        <v>90180</v>
      </c>
      <c r="BG44" s="30">
        <v>77297</v>
      </c>
    </row>
    <row r="45" spans="1:59" ht="15.75" thickBot="1" x14ac:dyDescent="0.3">
      <c r="A45" s="19" t="s">
        <v>474</v>
      </c>
      <c r="B45" s="19" t="s">
        <v>381</v>
      </c>
      <c r="C45" s="20">
        <v>1</v>
      </c>
      <c r="D45" s="20">
        <v>1</v>
      </c>
      <c r="E45" s="20">
        <v>1</v>
      </c>
      <c r="F45" s="20">
        <v>1</v>
      </c>
      <c r="G45" s="20">
        <v>1</v>
      </c>
      <c r="H45" s="20">
        <v>1</v>
      </c>
      <c r="I45" s="21">
        <v>2</v>
      </c>
      <c r="J45" s="22">
        <v>0.69</v>
      </c>
      <c r="K45" s="22">
        <v>0.56999999999999995</v>
      </c>
      <c r="L45" s="22">
        <v>0.54</v>
      </c>
      <c r="M45" s="22">
        <v>0.51</v>
      </c>
      <c r="N45" s="22">
        <v>0.5</v>
      </c>
      <c r="O45" s="22">
        <v>0.47</v>
      </c>
      <c r="P45" s="23">
        <v>85</v>
      </c>
      <c r="Q45" s="23">
        <v>0</v>
      </c>
      <c r="R45" s="24">
        <v>85</v>
      </c>
      <c r="S45" s="24">
        <v>85</v>
      </c>
      <c r="T45" s="24">
        <v>85</v>
      </c>
      <c r="U45" s="24">
        <v>85</v>
      </c>
      <c r="V45" s="24">
        <v>85</v>
      </c>
      <c r="W45" s="24">
        <v>85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6">
        <v>0</v>
      </c>
      <c r="AE45" s="26">
        <v>0</v>
      </c>
      <c r="AF45" s="26">
        <v>0</v>
      </c>
      <c r="AG45" s="26">
        <v>0</v>
      </c>
      <c r="AH45" s="26">
        <v>0</v>
      </c>
      <c r="AI45" s="26">
        <v>0</v>
      </c>
      <c r="AJ45" s="27">
        <v>0</v>
      </c>
      <c r="AK45" s="27">
        <v>0</v>
      </c>
      <c r="AL45" s="27">
        <v>0</v>
      </c>
      <c r="AM45" s="27">
        <v>0</v>
      </c>
      <c r="AN45" s="27">
        <v>0</v>
      </c>
      <c r="AO45" s="27">
        <v>0</v>
      </c>
      <c r="AP45" s="28">
        <v>10296.9</v>
      </c>
      <c r="AQ45" s="28">
        <v>11526</v>
      </c>
      <c r="AR45" s="28">
        <v>11531.1</v>
      </c>
      <c r="AS45" s="28">
        <v>11566.8</v>
      </c>
      <c r="AT45" s="28">
        <v>11515.8</v>
      </c>
      <c r="AU45" s="28">
        <v>11612.7</v>
      </c>
      <c r="AV45" s="29">
        <v>12114</v>
      </c>
      <c r="AW45" s="29">
        <v>13560</v>
      </c>
      <c r="AX45" s="29">
        <v>13566</v>
      </c>
      <c r="AY45" s="29">
        <v>13608</v>
      </c>
      <c r="AZ45" s="29">
        <v>13548</v>
      </c>
      <c r="BA45" s="29">
        <v>13662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</row>
    <row r="46" spans="1:59" ht="15.75" thickBot="1" x14ac:dyDescent="0.3">
      <c r="A46" s="19" t="s">
        <v>475</v>
      </c>
      <c r="B46" s="19" t="s">
        <v>382</v>
      </c>
      <c r="C46" s="20">
        <v>1</v>
      </c>
      <c r="D46" s="20">
        <v>1</v>
      </c>
      <c r="E46" s="20">
        <v>1</v>
      </c>
      <c r="F46" s="20">
        <v>1</v>
      </c>
      <c r="G46" s="20">
        <v>1</v>
      </c>
      <c r="H46" s="20">
        <v>1</v>
      </c>
      <c r="I46" s="21">
        <v>2</v>
      </c>
      <c r="J46" s="22">
        <v>0.69</v>
      </c>
      <c r="K46" s="22">
        <v>0.56999999999999995</v>
      </c>
      <c r="L46" s="22">
        <v>0.54</v>
      </c>
      <c r="M46" s="22">
        <v>0.51</v>
      </c>
      <c r="N46" s="22">
        <v>0.5</v>
      </c>
      <c r="O46" s="22">
        <v>0.47</v>
      </c>
      <c r="P46" s="23">
        <v>85</v>
      </c>
      <c r="Q46" s="23">
        <v>0</v>
      </c>
      <c r="R46" s="24">
        <v>85</v>
      </c>
      <c r="S46" s="24">
        <v>85</v>
      </c>
      <c r="T46" s="24">
        <v>85</v>
      </c>
      <c r="U46" s="24">
        <v>85</v>
      </c>
      <c r="V46" s="24">
        <v>85</v>
      </c>
      <c r="W46" s="24">
        <v>85</v>
      </c>
      <c r="X46" s="25">
        <v>0</v>
      </c>
      <c r="Y46" s="25">
        <v>0.01</v>
      </c>
      <c r="Z46" s="25">
        <v>0.01</v>
      </c>
      <c r="AA46" s="25">
        <v>0.01</v>
      </c>
      <c r="AB46" s="25">
        <v>0.01</v>
      </c>
      <c r="AC46" s="25">
        <v>0.01</v>
      </c>
      <c r="AD46" s="26">
        <v>0</v>
      </c>
      <c r="AE46" s="26">
        <v>0.01</v>
      </c>
      <c r="AF46" s="26">
        <v>0.01</v>
      </c>
      <c r="AG46" s="26">
        <v>0.01</v>
      </c>
      <c r="AH46" s="26">
        <v>0.01</v>
      </c>
      <c r="AI46" s="26">
        <v>0.01</v>
      </c>
      <c r="AJ46" s="27">
        <v>0.3</v>
      </c>
      <c r="AK46" s="27">
        <v>0.77</v>
      </c>
      <c r="AL46" s="27">
        <v>0.76</v>
      </c>
      <c r="AM46" s="27">
        <v>0.74</v>
      </c>
      <c r="AN46" s="27">
        <v>0.73</v>
      </c>
      <c r="AO46" s="27">
        <v>0.72</v>
      </c>
      <c r="AP46" s="28">
        <v>10296.9</v>
      </c>
      <c r="AQ46" s="28">
        <v>11526</v>
      </c>
      <c r="AR46" s="28">
        <v>11531.1</v>
      </c>
      <c r="AS46" s="28">
        <v>11566.8</v>
      </c>
      <c r="AT46" s="28">
        <v>11515.8</v>
      </c>
      <c r="AU46" s="28">
        <v>11612.7</v>
      </c>
      <c r="AV46" s="29">
        <v>12114</v>
      </c>
      <c r="AW46" s="29">
        <v>13560</v>
      </c>
      <c r="AX46" s="29">
        <v>13566</v>
      </c>
      <c r="AY46" s="29">
        <v>13608</v>
      </c>
      <c r="AZ46" s="29">
        <v>13548</v>
      </c>
      <c r="BA46" s="29">
        <v>13662</v>
      </c>
      <c r="BB46" s="30">
        <v>775</v>
      </c>
      <c r="BC46" s="30">
        <v>2022</v>
      </c>
      <c r="BD46" s="30">
        <v>2022</v>
      </c>
      <c r="BE46" s="30">
        <v>2022</v>
      </c>
      <c r="BF46" s="30">
        <v>2022</v>
      </c>
      <c r="BG46" s="30">
        <v>2022</v>
      </c>
    </row>
    <row r="47" spans="1:59" ht="15.75" thickBot="1" x14ac:dyDescent="0.3">
      <c r="A47" s="19" t="s">
        <v>476</v>
      </c>
      <c r="B47" s="19" t="s">
        <v>383</v>
      </c>
      <c r="C47" s="20">
        <v>1</v>
      </c>
      <c r="D47" s="20">
        <v>1</v>
      </c>
      <c r="E47" s="20">
        <v>1</v>
      </c>
      <c r="F47" s="20">
        <v>1</v>
      </c>
      <c r="G47" s="20">
        <v>1</v>
      </c>
      <c r="H47" s="20">
        <v>1</v>
      </c>
      <c r="I47" s="21">
        <v>2</v>
      </c>
      <c r="J47" s="22">
        <v>0.69</v>
      </c>
      <c r="K47" s="22">
        <v>0.56999999999999995</v>
      </c>
      <c r="L47" s="22">
        <v>0.54</v>
      </c>
      <c r="M47" s="22">
        <v>0.51</v>
      </c>
      <c r="N47" s="22">
        <v>0.5</v>
      </c>
      <c r="O47" s="22">
        <v>0.47</v>
      </c>
      <c r="P47" s="23">
        <v>85</v>
      </c>
      <c r="Q47" s="23">
        <v>0</v>
      </c>
      <c r="R47" s="24">
        <v>85</v>
      </c>
      <c r="S47" s="24">
        <v>85</v>
      </c>
      <c r="T47" s="24">
        <v>85</v>
      </c>
      <c r="U47" s="24">
        <v>85</v>
      </c>
      <c r="V47" s="24">
        <v>85</v>
      </c>
      <c r="W47" s="24">
        <v>85</v>
      </c>
      <c r="X47" s="25">
        <v>0.36</v>
      </c>
      <c r="Y47" s="25">
        <v>0.51</v>
      </c>
      <c r="Z47" s="25">
        <v>0.5</v>
      </c>
      <c r="AA47" s="25">
        <v>0.49</v>
      </c>
      <c r="AB47" s="25">
        <v>0.48</v>
      </c>
      <c r="AC47" s="25">
        <v>0.47</v>
      </c>
      <c r="AD47" s="26">
        <v>0.31</v>
      </c>
      <c r="AE47" s="26">
        <v>0.43</v>
      </c>
      <c r="AF47" s="26">
        <v>0.42</v>
      </c>
      <c r="AG47" s="26">
        <v>0.42</v>
      </c>
      <c r="AH47" s="26">
        <v>0.41</v>
      </c>
      <c r="AI47" s="26">
        <v>0.4</v>
      </c>
      <c r="AJ47" s="27">
        <v>37.520000000000003</v>
      </c>
      <c r="AK47" s="27">
        <v>58.42</v>
      </c>
      <c r="AL47" s="27">
        <v>57.53</v>
      </c>
      <c r="AM47" s="27">
        <v>56.64</v>
      </c>
      <c r="AN47" s="27">
        <v>55.75</v>
      </c>
      <c r="AO47" s="27">
        <v>54.86</v>
      </c>
      <c r="AP47" s="28">
        <v>10296.9</v>
      </c>
      <c r="AQ47" s="28">
        <v>11526</v>
      </c>
      <c r="AR47" s="28">
        <v>11531.1</v>
      </c>
      <c r="AS47" s="28">
        <v>11566.8</v>
      </c>
      <c r="AT47" s="28">
        <v>11515.8</v>
      </c>
      <c r="AU47" s="28">
        <v>11612.7</v>
      </c>
      <c r="AV47" s="29">
        <v>12114</v>
      </c>
      <c r="AW47" s="29">
        <v>13560</v>
      </c>
      <c r="AX47" s="29">
        <v>13566</v>
      </c>
      <c r="AY47" s="29">
        <v>13608</v>
      </c>
      <c r="AZ47" s="29">
        <v>13548</v>
      </c>
      <c r="BA47" s="29">
        <v>13662</v>
      </c>
      <c r="BB47" s="30">
        <v>40521</v>
      </c>
      <c r="BC47" s="30">
        <v>64050</v>
      </c>
      <c r="BD47" s="30">
        <v>64050</v>
      </c>
      <c r="BE47" s="30">
        <v>64050</v>
      </c>
      <c r="BF47" s="30">
        <v>64050</v>
      </c>
      <c r="BG47" s="30">
        <v>64050</v>
      </c>
    </row>
    <row r="48" spans="1:59" ht="15.75" thickBot="1" x14ac:dyDescent="0.3">
      <c r="A48" s="19" t="s">
        <v>477</v>
      </c>
      <c r="B48" s="19" t="s">
        <v>384</v>
      </c>
      <c r="C48" s="20">
        <v>1</v>
      </c>
      <c r="D48" s="20">
        <v>1</v>
      </c>
      <c r="E48" s="20">
        <v>1</v>
      </c>
      <c r="F48" s="20">
        <v>1</v>
      </c>
      <c r="G48" s="20">
        <v>1</v>
      </c>
      <c r="H48" s="20">
        <v>1</v>
      </c>
      <c r="I48" s="21">
        <v>2</v>
      </c>
      <c r="J48" s="22">
        <v>0.69</v>
      </c>
      <c r="K48" s="22">
        <v>0.56999999999999995</v>
      </c>
      <c r="L48" s="22">
        <v>0.54</v>
      </c>
      <c r="M48" s="22">
        <v>0.51</v>
      </c>
      <c r="N48" s="22">
        <v>0.5</v>
      </c>
      <c r="O48" s="22">
        <v>0.47</v>
      </c>
      <c r="P48" s="23">
        <v>85</v>
      </c>
      <c r="Q48" s="23">
        <v>0</v>
      </c>
      <c r="R48" s="24">
        <v>85</v>
      </c>
      <c r="S48" s="24">
        <v>85</v>
      </c>
      <c r="T48" s="24">
        <v>85</v>
      </c>
      <c r="U48" s="24">
        <v>85</v>
      </c>
      <c r="V48" s="24">
        <v>85</v>
      </c>
      <c r="W48" s="24">
        <v>85</v>
      </c>
      <c r="X48" s="25">
        <v>0.02</v>
      </c>
      <c r="Y48" s="25">
        <v>0.01</v>
      </c>
      <c r="Z48" s="25">
        <v>0.01</v>
      </c>
      <c r="AA48" s="25">
        <v>0.01</v>
      </c>
      <c r="AB48" s="25">
        <v>0.01</v>
      </c>
      <c r="AC48" s="25">
        <v>0.01</v>
      </c>
      <c r="AD48" s="26">
        <v>0.01</v>
      </c>
      <c r="AE48" s="26">
        <v>0.01</v>
      </c>
      <c r="AF48" s="26">
        <v>0.01</v>
      </c>
      <c r="AG48" s="26">
        <v>0.01</v>
      </c>
      <c r="AH48" s="26">
        <v>0.01</v>
      </c>
      <c r="AI48" s="26">
        <v>0.01</v>
      </c>
      <c r="AJ48" s="27">
        <v>1.67</v>
      </c>
      <c r="AK48" s="27">
        <v>1.23</v>
      </c>
      <c r="AL48" s="27">
        <v>1.21</v>
      </c>
      <c r="AM48" s="27">
        <v>1.19</v>
      </c>
      <c r="AN48" s="27">
        <v>1.17</v>
      </c>
      <c r="AO48" s="27">
        <v>1.1499999999999999</v>
      </c>
      <c r="AP48" s="28">
        <v>10296.9</v>
      </c>
      <c r="AQ48" s="28">
        <v>11526</v>
      </c>
      <c r="AR48" s="28">
        <v>11531.1</v>
      </c>
      <c r="AS48" s="28">
        <v>11566.8</v>
      </c>
      <c r="AT48" s="28">
        <v>11515.8</v>
      </c>
      <c r="AU48" s="28">
        <v>11612.7</v>
      </c>
      <c r="AV48" s="29">
        <v>12114</v>
      </c>
      <c r="AW48" s="29">
        <v>13560</v>
      </c>
      <c r="AX48" s="29">
        <v>13566</v>
      </c>
      <c r="AY48" s="29">
        <v>13608</v>
      </c>
      <c r="AZ48" s="29">
        <v>13548</v>
      </c>
      <c r="BA48" s="29">
        <v>13662</v>
      </c>
      <c r="BB48" s="30">
        <v>10000</v>
      </c>
      <c r="BC48" s="30">
        <v>7483</v>
      </c>
      <c r="BD48" s="30">
        <v>7483</v>
      </c>
      <c r="BE48" s="30">
        <v>7483</v>
      </c>
      <c r="BF48" s="30">
        <v>7483</v>
      </c>
      <c r="BG48" s="30">
        <v>7483</v>
      </c>
    </row>
    <row r="49" spans="1:59" ht="15.75" thickBot="1" x14ac:dyDescent="0.3">
      <c r="A49" s="19" t="s">
        <v>478</v>
      </c>
      <c r="B49" s="19" t="s">
        <v>385</v>
      </c>
      <c r="C49" s="20">
        <v>1</v>
      </c>
      <c r="D49" s="20">
        <v>1</v>
      </c>
      <c r="E49" s="20">
        <v>1</v>
      </c>
      <c r="F49" s="20">
        <v>1</v>
      </c>
      <c r="G49" s="20">
        <v>1</v>
      </c>
      <c r="H49" s="20">
        <v>1</v>
      </c>
      <c r="I49" s="21">
        <v>2</v>
      </c>
      <c r="J49" s="22">
        <v>0.69</v>
      </c>
      <c r="K49" s="22">
        <v>0.56999999999999995</v>
      </c>
      <c r="L49" s="22">
        <v>0.54</v>
      </c>
      <c r="M49" s="22">
        <v>0.51</v>
      </c>
      <c r="N49" s="22">
        <v>0.5</v>
      </c>
      <c r="O49" s="22">
        <v>0.47</v>
      </c>
      <c r="P49" s="23">
        <v>85</v>
      </c>
      <c r="Q49" s="23">
        <v>0</v>
      </c>
      <c r="R49" s="24">
        <v>85</v>
      </c>
      <c r="S49" s="24">
        <v>85</v>
      </c>
      <c r="T49" s="24">
        <v>85</v>
      </c>
      <c r="U49" s="24">
        <v>85</v>
      </c>
      <c r="V49" s="24">
        <v>85</v>
      </c>
      <c r="W49" s="24">
        <v>85</v>
      </c>
      <c r="X49" s="25">
        <v>0.02</v>
      </c>
      <c r="Y49" s="25">
        <v>0.02</v>
      </c>
      <c r="Z49" s="25">
        <v>0.02</v>
      </c>
      <c r="AA49" s="25">
        <v>0.02</v>
      </c>
      <c r="AB49" s="25">
        <v>0.02</v>
      </c>
      <c r="AC49" s="25">
        <v>0.01</v>
      </c>
      <c r="AD49" s="26">
        <v>0.01</v>
      </c>
      <c r="AE49" s="26">
        <v>0.01</v>
      </c>
      <c r="AF49" s="26">
        <v>0.01</v>
      </c>
      <c r="AG49" s="26">
        <v>0.01</v>
      </c>
      <c r="AH49" s="26">
        <v>0.01</v>
      </c>
      <c r="AI49" s="26">
        <v>0.01</v>
      </c>
      <c r="AJ49" s="27">
        <v>1.74</v>
      </c>
      <c r="AK49" s="27">
        <v>1.82</v>
      </c>
      <c r="AL49" s="27">
        <v>1.79</v>
      </c>
      <c r="AM49" s="27">
        <v>1.76</v>
      </c>
      <c r="AN49" s="27">
        <v>1.73</v>
      </c>
      <c r="AO49" s="27">
        <v>1.7</v>
      </c>
      <c r="AP49" s="28">
        <v>10296.9</v>
      </c>
      <c r="AQ49" s="28">
        <v>11526</v>
      </c>
      <c r="AR49" s="28">
        <v>11531.1</v>
      </c>
      <c r="AS49" s="28">
        <v>11566.8</v>
      </c>
      <c r="AT49" s="28">
        <v>11515.8</v>
      </c>
      <c r="AU49" s="28">
        <v>11612.7</v>
      </c>
      <c r="AV49" s="29">
        <v>12114</v>
      </c>
      <c r="AW49" s="29">
        <v>13560</v>
      </c>
      <c r="AX49" s="29">
        <v>13566</v>
      </c>
      <c r="AY49" s="29">
        <v>13608</v>
      </c>
      <c r="AZ49" s="29">
        <v>13548</v>
      </c>
      <c r="BA49" s="29">
        <v>13662</v>
      </c>
      <c r="BB49" s="30">
        <v>12351</v>
      </c>
      <c r="BC49" s="30">
        <v>13085</v>
      </c>
      <c r="BD49" s="30">
        <v>13085</v>
      </c>
      <c r="BE49" s="30">
        <v>13085</v>
      </c>
      <c r="BF49" s="30">
        <v>13085</v>
      </c>
      <c r="BG49" s="30">
        <v>13085</v>
      </c>
    </row>
    <row r="50" spans="1:59" ht="15.75" thickBot="1" x14ac:dyDescent="0.3">
      <c r="A50" s="19" t="s">
        <v>479</v>
      </c>
      <c r="B50" s="19" t="s">
        <v>386</v>
      </c>
      <c r="C50" s="20">
        <v>1</v>
      </c>
      <c r="D50" s="20">
        <v>1</v>
      </c>
      <c r="E50" s="20">
        <v>1</v>
      </c>
      <c r="F50" s="20">
        <v>1</v>
      </c>
      <c r="G50" s="20">
        <v>1</v>
      </c>
      <c r="H50" s="20">
        <v>1</v>
      </c>
      <c r="I50" s="21">
        <v>2</v>
      </c>
      <c r="J50" s="22">
        <v>0.69</v>
      </c>
      <c r="K50" s="22">
        <v>0.56999999999999995</v>
      </c>
      <c r="L50" s="22">
        <v>0.54</v>
      </c>
      <c r="M50" s="22">
        <v>0.51</v>
      </c>
      <c r="N50" s="22">
        <v>0.5</v>
      </c>
      <c r="O50" s="22">
        <v>0.47</v>
      </c>
      <c r="P50" s="23">
        <v>85</v>
      </c>
      <c r="Q50" s="23">
        <v>0</v>
      </c>
      <c r="R50" s="24">
        <v>85</v>
      </c>
      <c r="S50" s="24">
        <v>85</v>
      </c>
      <c r="T50" s="24">
        <v>85</v>
      </c>
      <c r="U50" s="24">
        <v>85</v>
      </c>
      <c r="V50" s="24">
        <v>85</v>
      </c>
      <c r="W50" s="24">
        <v>85</v>
      </c>
      <c r="X50" s="25">
        <v>0.01</v>
      </c>
      <c r="Y50" s="25">
        <v>0.02</v>
      </c>
      <c r="Z50" s="25">
        <v>0.02</v>
      </c>
      <c r="AA50" s="25">
        <v>0.01</v>
      </c>
      <c r="AB50" s="25">
        <v>0.01</v>
      </c>
      <c r="AC50" s="25">
        <v>0.01</v>
      </c>
      <c r="AD50" s="26">
        <v>0.01</v>
      </c>
      <c r="AE50" s="26">
        <v>0.02</v>
      </c>
      <c r="AF50" s="26">
        <v>0.01</v>
      </c>
      <c r="AG50" s="26">
        <v>0.01</v>
      </c>
      <c r="AH50" s="26">
        <v>0.01</v>
      </c>
      <c r="AI50" s="26">
        <v>0.01</v>
      </c>
      <c r="AJ50" s="27">
        <v>1.1299999999999999</v>
      </c>
      <c r="AK50" s="27">
        <v>2.42</v>
      </c>
      <c r="AL50" s="27">
        <v>2.02</v>
      </c>
      <c r="AM50" s="27">
        <v>1.62</v>
      </c>
      <c r="AN50" s="27">
        <v>1.24</v>
      </c>
      <c r="AO50" s="27">
        <v>1.05</v>
      </c>
      <c r="AP50" s="28">
        <v>10296.9</v>
      </c>
      <c r="AQ50" s="28">
        <v>11526</v>
      </c>
      <c r="AR50" s="28">
        <v>11531.1</v>
      </c>
      <c r="AS50" s="28">
        <v>11566.8</v>
      </c>
      <c r="AT50" s="28">
        <v>11515.8</v>
      </c>
      <c r="AU50" s="28">
        <v>11612.7</v>
      </c>
      <c r="AV50" s="29">
        <v>12114</v>
      </c>
      <c r="AW50" s="29">
        <v>13560</v>
      </c>
      <c r="AX50" s="29">
        <v>13566</v>
      </c>
      <c r="AY50" s="29">
        <v>13608</v>
      </c>
      <c r="AZ50" s="29">
        <v>13548</v>
      </c>
      <c r="BA50" s="29">
        <v>13662</v>
      </c>
      <c r="BB50" s="30">
        <v>36100</v>
      </c>
      <c r="BC50" s="30">
        <v>78596</v>
      </c>
      <c r="BD50" s="30">
        <v>66504</v>
      </c>
      <c r="BE50" s="30">
        <v>54413</v>
      </c>
      <c r="BF50" s="30">
        <v>42321</v>
      </c>
      <c r="BG50" s="30">
        <v>36275</v>
      </c>
    </row>
    <row r="51" spans="1:59" ht="15.75" thickBot="1" x14ac:dyDescent="0.3">
      <c r="A51" s="19" t="s">
        <v>293</v>
      </c>
      <c r="B51" s="19" t="s">
        <v>274</v>
      </c>
      <c r="C51" s="20">
        <v>1</v>
      </c>
      <c r="D51" s="20">
        <v>1</v>
      </c>
      <c r="E51" s="20">
        <v>1</v>
      </c>
      <c r="F51" s="20">
        <v>1</v>
      </c>
      <c r="G51" s="20">
        <v>1</v>
      </c>
      <c r="H51" s="20">
        <v>1</v>
      </c>
      <c r="I51" s="21">
        <v>2</v>
      </c>
      <c r="J51" s="22">
        <v>0.69</v>
      </c>
      <c r="K51" s="22">
        <v>0.56999999999999995</v>
      </c>
      <c r="L51" s="22">
        <v>0.54</v>
      </c>
      <c r="M51" s="22">
        <v>0.51</v>
      </c>
      <c r="N51" s="22">
        <v>0.5</v>
      </c>
      <c r="O51" s="22">
        <v>0.47</v>
      </c>
      <c r="P51" s="23">
        <v>85</v>
      </c>
      <c r="Q51" s="23">
        <v>0</v>
      </c>
      <c r="R51" s="24">
        <v>85</v>
      </c>
      <c r="S51" s="24">
        <v>85</v>
      </c>
      <c r="T51" s="24">
        <v>85</v>
      </c>
      <c r="U51" s="24">
        <v>85</v>
      </c>
      <c r="V51" s="24">
        <v>85</v>
      </c>
      <c r="W51" s="24">
        <v>85</v>
      </c>
      <c r="X51" s="25">
        <v>0</v>
      </c>
      <c r="Y51" s="25">
        <v>0.21</v>
      </c>
      <c r="Z51" s="25">
        <v>0</v>
      </c>
      <c r="AA51" s="25">
        <v>0</v>
      </c>
      <c r="AB51" s="25">
        <v>0</v>
      </c>
      <c r="AC51" s="25">
        <v>0</v>
      </c>
      <c r="AD51" s="26">
        <v>0</v>
      </c>
      <c r="AE51" s="26">
        <v>0.17</v>
      </c>
      <c r="AF51" s="26">
        <v>0</v>
      </c>
      <c r="AG51" s="26">
        <v>0</v>
      </c>
      <c r="AH51" s="26">
        <v>0</v>
      </c>
      <c r="AI51" s="26">
        <v>0</v>
      </c>
      <c r="AJ51" s="27">
        <v>0</v>
      </c>
      <c r="AK51" s="27">
        <v>23.64</v>
      </c>
      <c r="AL51" s="27">
        <v>0</v>
      </c>
      <c r="AM51" s="27">
        <v>0</v>
      </c>
      <c r="AN51" s="27">
        <v>0</v>
      </c>
      <c r="AO51" s="27">
        <v>0</v>
      </c>
      <c r="AP51" s="28">
        <v>10296.9</v>
      </c>
      <c r="AQ51" s="28">
        <v>11526</v>
      </c>
      <c r="AR51" s="28">
        <v>11531.1</v>
      </c>
      <c r="AS51" s="28">
        <v>11566.8</v>
      </c>
      <c r="AT51" s="28">
        <v>11515.8</v>
      </c>
      <c r="AU51" s="28">
        <v>11612.7</v>
      </c>
      <c r="AV51" s="29">
        <v>12114</v>
      </c>
      <c r="AW51" s="29">
        <v>13560</v>
      </c>
      <c r="AX51" s="29">
        <v>13566</v>
      </c>
      <c r="AY51" s="29">
        <v>13608</v>
      </c>
      <c r="AZ51" s="29">
        <v>13548</v>
      </c>
      <c r="BA51" s="29">
        <v>13662</v>
      </c>
      <c r="BB51" s="30">
        <v>0</v>
      </c>
      <c r="BC51" s="30">
        <v>24000</v>
      </c>
      <c r="BD51" s="30">
        <v>0</v>
      </c>
      <c r="BE51" s="30">
        <v>0</v>
      </c>
      <c r="BF51" s="30">
        <v>0</v>
      </c>
      <c r="BG51" s="30">
        <v>0</v>
      </c>
    </row>
    <row r="52" spans="1:59" ht="15.75" thickBot="1" x14ac:dyDescent="0.3">
      <c r="A52" s="19" t="s">
        <v>480</v>
      </c>
      <c r="B52" s="19" t="s">
        <v>387</v>
      </c>
      <c r="C52" s="20">
        <v>1</v>
      </c>
      <c r="D52" s="20">
        <v>1</v>
      </c>
      <c r="E52" s="20">
        <v>1</v>
      </c>
      <c r="F52" s="20">
        <v>1</v>
      </c>
      <c r="G52" s="20">
        <v>1</v>
      </c>
      <c r="H52" s="20">
        <v>1</v>
      </c>
      <c r="I52" s="21">
        <v>2</v>
      </c>
      <c r="J52" s="22">
        <v>0.69</v>
      </c>
      <c r="K52" s="22">
        <v>0.56999999999999995</v>
      </c>
      <c r="L52" s="22">
        <v>0.54</v>
      </c>
      <c r="M52" s="22">
        <v>0.51</v>
      </c>
      <c r="N52" s="22">
        <v>0.5</v>
      </c>
      <c r="O52" s="22">
        <v>0.47</v>
      </c>
      <c r="P52" s="23">
        <v>85</v>
      </c>
      <c r="Q52" s="23">
        <v>0</v>
      </c>
      <c r="R52" s="24">
        <v>85</v>
      </c>
      <c r="S52" s="24">
        <v>85</v>
      </c>
      <c r="T52" s="24">
        <v>85</v>
      </c>
      <c r="U52" s="24">
        <v>85</v>
      </c>
      <c r="V52" s="24">
        <v>85</v>
      </c>
      <c r="W52" s="24">
        <v>85</v>
      </c>
      <c r="X52" s="25">
        <v>0.1</v>
      </c>
      <c r="Y52" s="25">
        <v>0.01</v>
      </c>
      <c r="Z52" s="25">
        <v>0.01</v>
      </c>
      <c r="AA52" s="25">
        <v>0.01</v>
      </c>
      <c r="AB52" s="25">
        <v>0.01</v>
      </c>
      <c r="AC52" s="25">
        <v>0.01</v>
      </c>
      <c r="AD52" s="26">
        <v>0.08</v>
      </c>
      <c r="AE52" s="26">
        <v>0.01</v>
      </c>
      <c r="AF52" s="26">
        <v>0.01</v>
      </c>
      <c r="AG52" s="26">
        <v>0.01</v>
      </c>
      <c r="AH52" s="26">
        <v>0.01</v>
      </c>
      <c r="AI52" s="26">
        <v>0.01</v>
      </c>
      <c r="AJ52" s="27">
        <v>10.130000000000001</v>
      </c>
      <c r="AK52" s="27">
        <v>1.68</v>
      </c>
      <c r="AL52" s="27">
        <v>1.66</v>
      </c>
      <c r="AM52" s="27">
        <v>1.63</v>
      </c>
      <c r="AN52" s="27">
        <v>1.6</v>
      </c>
      <c r="AO52" s="27">
        <v>1.58</v>
      </c>
      <c r="AP52" s="28">
        <v>10296.9</v>
      </c>
      <c r="AQ52" s="28">
        <v>11526</v>
      </c>
      <c r="AR52" s="28">
        <v>11531.1</v>
      </c>
      <c r="AS52" s="28">
        <v>11566.8</v>
      </c>
      <c r="AT52" s="28">
        <v>11515.8</v>
      </c>
      <c r="AU52" s="28">
        <v>11612.7</v>
      </c>
      <c r="AV52" s="29">
        <v>12114</v>
      </c>
      <c r="AW52" s="29">
        <v>13560</v>
      </c>
      <c r="AX52" s="29">
        <v>13566</v>
      </c>
      <c r="AY52" s="29">
        <v>13608</v>
      </c>
      <c r="AZ52" s="29">
        <v>13548</v>
      </c>
      <c r="BA52" s="29">
        <v>13662</v>
      </c>
      <c r="BB52" s="30">
        <v>25067</v>
      </c>
      <c r="BC52" s="30">
        <v>4225</v>
      </c>
      <c r="BD52" s="30">
        <v>4225</v>
      </c>
      <c r="BE52" s="30">
        <v>4225</v>
      </c>
      <c r="BF52" s="30">
        <v>4225</v>
      </c>
      <c r="BG52" s="30">
        <v>4225</v>
      </c>
    </row>
    <row r="53" spans="1:59" ht="15.75" thickBot="1" x14ac:dyDescent="0.3">
      <c r="A53" s="19" t="s">
        <v>481</v>
      </c>
      <c r="B53" s="19" t="s">
        <v>388</v>
      </c>
      <c r="C53" s="20">
        <v>1</v>
      </c>
      <c r="D53" s="20">
        <v>1</v>
      </c>
      <c r="E53" s="20">
        <v>1</v>
      </c>
      <c r="F53" s="20">
        <v>1</v>
      </c>
      <c r="G53" s="20">
        <v>1</v>
      </c>
      <c r="H53" s="20">
        <v>1</v>
      </c>
      <c r="I53" s="21">
        <v>2</v>
      </c>
      <c r="J53" s="22">
        <v>0.69</v>
      </c>
      <c r="K53" s="22">
        <v>0.56999999999999995</v>
      </c>
      <c r="L53" s="22">
        <v>0.54</v>
      </c>
      <c r="M53" s="22">
        <v>0.51</v>
      </c>
      <c r="N53" s="22">
        <v>0.5</v>
      </c>
      <c r="O53" s="22">
        <v>0.47</v>
      </c>
      <c r="P53" s="23">
        <v>85</v>
      </c>
      <c r="Q53" s="23">
        <v>0</v>
      </c>
      <c r="R53" s="24">
        <v>85</v>
      </c>
      <c r="S53" s="24">
        <v>85</v>
      </c>
      <c r="T53" s="24">
        <v>85</v>
      </c>
      <c r="U53" s="24">
        <v>85</v>
      </c>
      <c r="V53" s="24">
        <v>85</v>
      </c>
      <c r="W53" s="24">
        <v>85</v>
      </c>
      <c r="X53" s="25">
        <v>0.05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6">
        <v>0.04</v>
      </c>
      <c r="AE53" s="26">
        <v>0</v>
      </c>
      <c r="AF53" s="26">
        <v>0</v>
      </c>
      <c r="AG53" s="26">
        <v>0</v>
      </c>
      <c r="AH53" s="26">
        <v>0</v>
      </c>
      <c r="AI53" s="26">
        <v>0</v>
      </c>
      <c r="AJ53" s="27">
        <v>4.76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8">
        <v>10296.9</v>
      </c>
      <c r="AQ53" s="28">
        <v>11526</v>
      </c>
      <c r="AR53" s="28">
        <v>11531.1</v>
      </c>
      <c r="AS53" s="28">
        <v>11566.8</v>
      </c>
      <c r="AT53" s="28">
        <v>11515.8</v>
      </c>
      <c r="AU53" s="28">
        <v>11612.7</v>
      </c>
      <c r="AV53" s="29">
        <v>12114</v>
      </c>
      <c r="AW53" s="29">
        <v>13560</v>
      </c>
      <c r="AX53" s="29">
        <v>13566</v>
      </c>
      <c r="AY53" s="29">
        <v>13608</v>
      </c>
      <c r="AZ53" s="29">
        <v>13548</v>
      </c>
      <c r="BA53" s="29">
        <v>13662</v>
      </c>
      <c r="BB53" s="30">
        <v>10000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</row>
    <row r="54" spans="1:59" ht="15.75" thickBot="1" x14ac:dyDescent="0.3">
      <c r="A54" s="19" t="s">
        <v>482</v>
      </c>
      <c r="B54" s="19" t="s">
        <v>389</v>
      </c>
      <c r="C54" s="20">
        <v>1</v>
      </c>
      <c r="D54" s="20">
        <v>1</v>
      </c>
      <c r="E54" s="20">
        <v>1</v>
      </c>
      <c r="F54" s="20">
        <v>1</v>
      </c>
      <c r="G54" s="20">
        <v>1</v>
      </c>
      <c r="H54" s="20">
        <v>1</v>
      </c>
      <c r="I54" s="21">
        <v>2</v>
      </c>
      <c r="J54" s="22">
        <v>0.69</v>
      </c>
      <c r="K54" s="22">
        <v>0.56999999999999995</v>
      </c>
      <c r="L54" s="22">
        <v>0.54</v>
      </c>
      <c r="M54" s="22">
        <v>0.51</v>
      </c>
      <c r="N54" s="22">
        <v>0.5</v>
      </c>
      <c r="O54" s="22">
        <v>0.47</v>
      </c>
      <c r="P54" s="23">
        <v>85</v>
      </c>
      <c r="Q54" s="23">
        <v>0</v>
      </c>
      <c r="R54" s="24">
        <v>85</v>
      </c>
      <c r="S54" s="24">
        <v>85</v>
      </c>
      <c r="T54" s="24">
        <v>85</v>
      </c>
      <c r="U54" s="24">
        <v>85</v>
      </c>
      <c r="V54" s="24">
        <v>85</v>
      </c>
      <c r="W54" s="24">
        <v>85</v>
      </c>
      <c r="X54" s="25">
        <v>0.08</v>
      </c>
      <c r="Y54" s="25">
        <v>0.15</v>
      </c>
      <c r="Z54" s="25">
        <v>0.15</v>
      </c>
      <c r="AA54" s="25">
        <v>0.15</v>
      </c>
      <c r="AB54" s="25">
        <v>0.15</v>
      </c>
      <c r="AC54" s="25">
        <v>0.14000000000000001</v>
      </c>
      <c r="AD54" s="26">
        <v>7.0000000000000007E-2</v>
      </c>
      <c r="AE54" s="26">
        <v>0.13</v>
      </c>
      <c r="AF54" s="26">
        <v>0.13</v>
      </c>
      <c r="AG54" s="26">
        <v>0.13</v>
      </c>
      <c r="AH54" s="26">
        <v>0.13</v>
      </c>
      <c r="AI54" s="26">
        <v>0.12</v>
      </c>
      <c r="AJ54" s="27">
        <v>8.6199999999999992</v>
      </c>
      <c r="AK54" s="27">
        <v>17.829999999999998</v>
      </c>
      <c r="AL54" s="27">
        <v>17.55</v>
      </c>
      <c r="AM54" s="27">
        <v>17.28</v>
      </c>
      <c r="AN54" s="27">
        <v>17.010000000000002</v>
      </c>
      <c r="AO54" s="27">
        <v>16.739999999999998</v>
      </c>
      <c r="AP54" s="28">
        <v>10296.9</v>
      </c>
      <c r="AQ54" s="28">
        <v>11526</v>
      </c>
      <c r="AR54" s="28">
        <v>11531.1</v>
      </c>
      <c r="AS54" s="28">
        <v>11566.8</v>
      </c>
      <c r="AT54" s="28">
        <v>11515.8</v>
      </c>
      <c r="AU54" s="28">
        <v>11612.7</v>
      </c>
      <c r="AV54" s="29">
        <v>12114</v>
      </c>
      <c r="AW54" s="29">
        <v>13560</v>
      </c>
      <c r="AX54" s="29">
        <v>13566</v>
      </c>
      <c r="AY54" s="29">
        <v>13608</v>
      </c>
      <c r="AZ54" s="29">
        <v>13548</v>
      </c>
      <c r="BA54" s="29">
        <v>13662</v>
      </c>
      <c r="BB54" s="30">
        <v>33179</v>
      </c>
      <c r="BC54" s="30">
        <v>69676</v>
      </c>
      <c r="BD54" s="30">
        <v>69676</v>
      </c>
      <c r="BE54" s="30">
        <v>69676</v>
      </c>
      <c r="BF54" s="30">
        <v>69676</v>
      </c>
      <c r="BG54" s="30">
        <v>69676</v>
      </c>
    </row>
    <row r="55" spans="1:59" ht="15.75" thickBot="1" x14ac:dyDescent="0.3">
      <c r="A55" s="19" t="s">
        <v>483</v>
      </c>
      <c r="B55" s="19" t="s">
        <v>390</v>
      </c>
      <c r="C55" s="20">
        <v>1</v>
      </c>
      <c r="D55" s="20">
        <v>1</v>
      </c>
      <c r="E55" s="20">
        <v>1</v>
      </c>
      <c r="F55" s="20">
        <v>1</v>
      </c>
      <c r="G55" s="20">
        <v>1</v>
      </c>
      <c r="H55" s="20">
        <v>1</v>
      </c>
      <c r="I55" s="21">
        <v>2</v>
      </c>
      <c r="J55" s="22">
        <v>0.69</v>
      </c>
      <c r="K55" s="22">
        <v>0.56999999999999995</v>
      </c>
      <c r="L55" s="22">
        <v>0.54</v>
      </c>
      <c r="M55" s="22">
        <v>0.51</v>
      </c>
      <c r="N55" s="22">
        <v>0.5</v>
      </c>
      <c r="O55" s="22">
        <v>0.47</v>
      </c>
      <c r="P55" s="23">
        <v>85</v>
      </c>
      <c r="Q55" s="23">
        <v>0</v>
      </c>
      <c r="R55" s="24">
        <v>85</v>
      </c>
      <c r="S55" s="24">
        <v>85</v>
      </c>
      <c r="T55" s="24">
        <v>85</v>
      </c>
      <c r="U55" s="24">
        <v>85</v>
      </c>
      <c r="V55" s="24">
        <v>85</v>
      </c>
      <c r="W55" s="24">
        <v>85</v>
      </c>
      <c r="X55" s="25">
        <v>0.01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6">
        <v>0.01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7">
        <v>1.47</v>
      </c>
      <c r="AK55" s="27">
        <v>0.39</v>
      </c>
      <c r="AL55" s="27">
        <v>0.38</v>
      </c>
      <c r="AM55" s="27">
        <v>0.38</v>
      </c>
      <c r="AN55" s="27">
        <v>0.37</v>
      </c>
      <c r="AO55" s="27">
        <v>0.36</v>
      </c>
      <c r="AP55" s="28">
        <v>10296.9</v>
      </c>
      <c r="AQ55" s="28">
        <v>11526</v>
      </c>
      <c r="AR55" s="28">
        <v>11531.1</v>
      </c>
      <c r="AS55" s="28">
        <v>11566.8</v>
      </c>
      <c r="AT55" s="28">
        <v>11515.8</v>
      </c>
      <c r="AU55" s="28">
        <v>11612.7</v>
      </c>
      <c r="AV55" s="29">
        <v>12114</v>
      </c>
      <c r="AW55" s="29">
        <v>13560</v>
      </c>
      <c r="AX55" s="29">
        <v>13566</v>
      </c>
      <c r="AY55" s="29">
        <v>13608</v>
      </c>
      <c r="AZ55" s="29">
        <v>13548</v>
      </c>
      <c r="BA55" s="29">
        <v>13662</v>
      </c>
      <c r="BB55" s="30">
        <v>5666</v>
      </c>
      <c r="BC55" s="30">
        <v>1514</v>
      </c>
      <c r="BD55" s="30">
        <v>1514</v>
      </c>
      <c r="BE55" s="30">
        <v>1514</v>
      </c>
      <c r="BF55" s="30">
        <v>1514</v>
      </c>
      <c r="BG55" s="30">
        <v>1514</v>
      </c>
    </row>
    <row r="56" spans="1:59" ht="15.75" thickBot="1" x14ac:dyDescent="0.3">
      <c r="A56" s="19" t="s">
        <v>484</v>
      </c>
      <c r="B56" s="19" t="s">
        <v>391</v>
      </c>
      <c r="C56" s="20">
        <v>1</v>
      </c>
      <c r="D56" s="20">
        <v>1</v>
      </c>
      <c r="E56" s="20">
        <v>1</v>
      </c>
      <c r="F56" s="20">
        <v>1</v>
      </c>
      <c r="G56" s="20">
        <v>1</v>
      </c>
      <c r="H56" s="20">
        <v>1</v>
      </c>
      <c r="I56" s="21">
        <v>2</v>
      </c>
      <c r="J56" s="22">
        <v>0.69</v>
      </c>
      <c r="K56" s="22">
        <v>0.56999999999999995</v>
      </c>
      <c r="L56" s="22">
        <v>0.54</v>
      </c>
      <c r="M56" s="22">
        <v>0.51</v>
      </c>
      <c r="N56" s="22">
        <v>0.5</v>
      </c>
      <c r="O56" s="22">
        <v>0.47</v>
      </c>
      <c r="P56" s="23">
        <v>85</v>
      </c>
      <c r="Q56" s="23">
        <v>0</v>
      </c>
      <c r="R56" s="24">
        <v>85</v>
      </c>
      <c r="S56" s="24">
        <v>85</v>
      </c>
      <c r="T56" s="24">
        <v>85</v>
      </c>
      <c r="U56" s="24">
        <v>85</v>
      </c>
      <c r="V56" s="24">
        <v>85</v>
      </c>
      <c r="W56" s="24">
        <v>85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6">
        <v>0</v>
      </c>
      <c r="AE56" s="26">
        <v>0</v>
      </c>
      <c r="AF56" s="26">
        <v>0</v>
      </c>
      <c r="AG56" s="26">
        <v>0</v>
      </c>
      <c r="AH56" s="26">
        <v>0</v>
      </c>
      <c r="AI56" s="26">
        <v>0</v>
      </c>
      <c r="AJ56" s="27">
        <v>0</v>
      </c>
      <c r="AK56" s="27">
        <v>0.06</v>
      </c>
      <c r="AL56" s="27">
        <v>0.06</v>
      </c>
      <c r="AM56" s="27">
        <v>0.05</v>
      </c>
      <c r="AN56" s="27">
        <v>0.05</v>
      </c>
      <c r="AO56" s="27">
        <v>0.05</v>
      </c>
      <c r="AP56" s="28">
        <v>10296.9</v>
      </c>
      <c r="AQ56" s="28">
        <v>11526</v>
      </c>
      <c r="AR56" s="28">
        <v>11531.1</v>
      </c>
      <c r="AS56" s="28">
        <v>11566.8</v>
      </c>
      <c r="AT56" s="28">
        <v>11515.8</v>
      </c>
      <c r="AU56" s="28">
        <v>11612.7</v>
      </c>
      <c r="AV56" s="29">
        <v>12114</v>
      </c>
      <c r="AW56" s="29">
        <v>13560</v>
      </c>
      <c r="AX56" s="29">
        <v>13566</v>
      </c>
      <c r="AY56" s="29">
        <v>13608</v>
      </c>
      <c r="AZ56" s="29">
        <v>13548</v>
      </c>
      <c r="BA56" s="29">
        <v>13662</v>
      </c>
      <c r="BB56" s="30">
        <v>0</v>
      </c>
      <c r="BC56" s="30">
        <v>374</v>
      </c>
      <c r="BD56" s="30">
        <v>374</v>
      </c>
      <c r="BE56" s="30">
        <v>374</v>
      </c>
      <c r="BF56" s="30">
        <v>374</v>
      </c>
      <c r="BG56" s="30">
        <v>374</v>
      </c>
    </row>
    <row r="57" spans="1:59" ht="15.75" thickBot="1" x14ac:dyDescent="0.3">
      <c r="A57" s="19" t="s">
        <v>485</v>
      </c>
      <c r="B57" s="19" t="s">
        <v>392</v>
      </c>
      <c r="C57" s="20">
        <v>1</v>
      </c>
      <c r="D57" s="20">
        <v>1</v>
      </c>
      <c r="E57" s="20">
        <v>1</v>
      </c>
      <c r="F57" s="20">
        <v>1</v>
      </c>
      <c r="G57" s="20">
        <v>1</v>
      </c>
      <c r="H57" s="20">
        <v>1</v>
      </c>
      <c r="I57" s="21">
        <v>2</v>
      </c>
      <c r="J57" s="22">
        <v>0.69</v>
      </c>
      <c r="K57" s="22">
        <v>0.56999999999999995</v>
      </c>
      <c r="L57" s="22">
        <v>0.54</v>
      </c>
      <c r="M57" s="22">
        <v>0.51</v>
      </c>
      <c r="N57" s="22">
        <v>0.5</v>
      </c>
      <c r="O57" s="22">
        <v>0.47</v>
      </c>
      <c r="P57" s="23">
        <v>85</v>
      </c>
      <c r="Q57" s="23">
        <v>0</v>
      </c>
      <c r="R57" s="24">
        <v>85</v>
      </c>
      <c r="S57" s="24">
        <v>85</v>
      </c>
      <c r="T57" s="24">
        <v>85</v>
      </c>
      <c r="U57" s="24">
        <v>85</v>
      </c>
      <c r="V57" s="24">
        <v>85</v>
      </c>
      <c r="W57" s="24">
        <v>85</v>
      </c>
      <c r="X57" s="25">
        <v>0.06</v>
      </c>
      <c r="Y57" s="25">
        <v>0.08</v>
      </c>
      <c r="Z57" s="25">
        <v>0.08</v>
      </c>
      <c r="AA57" s="25">
        <v>0.08</v>
      </c>
      <c r="AB57" s="25">
        <v>0.08</v>
      </c>
      <c r="AC57" s="25">
        <v>7.0000000000000007E-2</v>
      </c>
      <c r="AD57" s="26">
        <v>0.05</v>
      </c>
      <c r="AE57" s="26">
        <v>7.0000000000000007E-2</v>
      </c>
      <c r="AF57" s="26">
        <v>7.0000000000000007E-2</v>
      </c>
      <c r="AG57" s="26">
        <v>7.0000000000000007E-2</v>
      </c>
      <c r="AH57" s="26">
        <v>0.06</v>
      </c>
      <c r="AI57" s="26">
        <v>0.06</v>
      </c>
      <c r="AJ57" s="27">
        <v>5.89</v>
      </c>
      <c r="AK57" s="27">
        <v>9.1199999999999992</v>
      </c>
      <c r="AL57" s="27">
        <v>8.99</v>
      </c>
      <c r="AM57" s="27">
        <v>8.85</v>
      </c>
      <c r="AN57" s="27">
        <v>8.7100000000000009</v>
      </c>
      <c r="AO57" s="27">
        <v>8.57</v>
      </c>
      <c r="AP57" s="28">
        <v>10296.9</v>
      </c>
      <c r="AQ57" s="28">
        <v>11526</v>
      </c>
      <c r="AR57" s="28">
        <v>11531.1</v>
      </c>
      <c r="AS57" s="28">
        <v>11566.8</v>
      </c>
      <c r="AT57" s="28">
        <v>11515.8</v>
      </c>
      <c r="AU57" s="28">
        <v>11612.7</v>
      </c>
      <c r="AV57" s="29">
        <v>12114</v>
      </c>
      <c r="AW57" s="29">
        <v>13560</v>
      </c>
      <c r="AX57" s="29">
        <v>13566</v>
      </c>
      <c r="AY57" s="29">
        <v>13608</v>
      </c>
      <c r="AZ57" s="29">
        <v>13548</v>
      </c>
      <c r="BA57" s="29">
        <v>13662</v>
      </c>
      <c r="BB57" s="30">
        <v>22685</v>
      </c>
      <c r="BC57" s="30">
        <v>35664</v>
      </c>
      <c r="BD57" s="30">
        <v>35664</v>
      </c>
      <c r="BE57" s="30">
        <v>35664</v>
      </c>
      <c r="BF57" s="30">
        <v>35664</v>
      </c>
      <c r="BG57" s="30">
        <v>35664</v>
      </c>
    </row>
    <row r="58" spans="1:59" ht="15.75" thickBot="1" x14ac:dyDescent="0.3">
      <c r="A58" s="19" t="s">
        <v>486</v>
      </c>
      <c r="B58" s="19" t="s">
        <v>393</v>
      </c>
      <c r="C58" s="20">
        <v>1</v>
      </c>
      <c r="D58" s="20">
        <v>1</v>
      </c>
      <c r="E58" s="20">
        <v>1</v>
      </c>
      <c r="F58" s="20">
        <v>1</v>
      </c>
      <c r="G58" s="20">
        <v>1</v>
      </c>
      <c r="H58" s="20">
        <v>1</v>
      </c>
      <c r="I58" s="21">
        <v>2</v>
      </c>
      <c r="J58" s="22">
        <v>0.69</v>
      </c>
      <c r="K58" s="22">
        <v>0.56999999999999995</v>
      </c>
      <c r="L58" s="22">
        <v>0.54</v>
      </c>
      <c r="M58" s="22">
        <v>0.51</v>
      </c>
      <c r="N58" s="22">
        <v>0.5</v>
      </c>
      <c r="O58" s="22">
        <v>0.47</v>
      </c>
      <c r="P58" s="23">
        <v>85</v>
      </c>
      <c r="Q58" s="23">
        <v>0</v>
      </c>
      <c r="R58" s="24">
        <v>85</v>
      </c>
      <c r="S58" s="24">
        <v>85</v>
      </c>
      <c r="T58" s="24">
        <v>85</v>
      </c>
      <c r="U58" s="24">
        <v>85</v>
      </c>
      <c r="V58" s="24">
        <v>85</v>
      </c>
      <c r="W58" s="24">
        <v>85</v>
      </c>
      <c r="X58" s="25">
        <v>0</v>
      </c>
      <c r="Y58" s="25">
        <v>0.02</v>
      </c>
      <c r="Z58" s="25">
        <v>0.01</v>
      </c>
      <c r="AA58" s="25">
        <v>0.01</v>
      </c>
      <c r="AB58" s="25">
        <v>0.01</v>
      </c>
      <c r="AC58" s="25">
        <v>0.01</v>
      </c>
      <c r="AD58" s="26">
        <v>0</v>
      </c>
      <c r="AE58" s="26">
        <v>0.01</v>
      </c>
      <c r="AF58" s="26">
        <v>0.01</v>
      </c>
      <c r="AG58" s="26">
        <v>0.01</v>
      </c>
      <c r="AH58" s="26">
        <v>0.01</v>
      </c>
      <c r="AI58" s="26">
        <v>0.01</v>
      </c>
      <c r="AJ58" s="27">
        <v>0</v>
      </c>
      <c r="AK58" s="27">
        <v>1.75</v>
      </c>
      <c r="AL58" s="27">
        <v>1.72</v>
      </c>
      <c r="AM58" s="27">
        <v>1.69</v>
      </c>
      <c r="AN58" s="27">
        <v>1.67</v>
      </c>
      <c r="AO58" s="27">
        <v>1.64</v>
      </c>
      <c r="AP58" s="28">
        <v>10296.9</v>
      </c>
      <c r="AQ58" s="28">
        <v>11526</v>
      </c>
      <c r="AR58" s="28">
        <v>11531.1</v>
      </c>
      <c r="AS58" s="28">
        <v>11566.8</v>
      </c>
      <c r="AT58" s="28">
        <v>11515.8</v>
      </c>
      <c r="AU58" s="28">
        <v>11612.7</v>
      </c>
      <c r="AV58" s="29">
        <v>12114</v>
      </c>
      <c r="AW58" s="29">
        <v>13560</v>
      </c>
      <c r="AX58" s="29">
        <v>13566</v>
      </c>
      <c r="AY58" s="29">
        <v>13608</v>
      </c>
      <c r="AZ58" s="29">
        <v>13548</v>
      </c>
      <c r="BA58" s="29">
        <v>13662</v>
      </c>
      <c r="BB58" s="30">
        <v>0</v>
      </c>
      <c r="BC58" s="30">
        <v>4969</v>
      </c>
      <c r="BD58" s="30">
        <v>4969</v>
      </c>
      <c r="BE58" s="30">
        <v>4969</v>
      </c>
      <c r="BF58" s="30">
        <v>4969</v>
      </c>
      <c r="BG58" s="30">
        <v>4969</v>
      </c>
    </row>
    <row r="59" spans="1:59" ht="15.75" thickBot="1" x14ac:dyDescent="0.3">
      <c r="A59" s="19" t="s">
        <v>487</v>
      </c>
      <c r="B59" s="19" t="s">
        <v>394</v>
      </c>
      <c r="C59" s="20">
        <v>1</v>
      </c>
      <c r="D59" s="20">
        <v>1</v>
      </c>
      <c r="E59" s="20">
        <v>1</v>
      </c>
      <c r="F59" s="20">
        <v>1</v>
      </c>
      <c r="G59" s="20">
        <v>1</v>
      </c>
      <c r="H59" s="20">
        <v>1</v>
      </c>
      <c r="I59" s="21">
        <v>2</v>
      </c>
      <c r="J59" s="22">
        <v>0.69</v>
      </c>
      <c r="K59" s="22">
        <v>0.56999999999999995</v>
      </c>
      <c r="L59" s="22">
        <v>0.54</v>
      </c>
      <c r="M59" s="22">
        <v>0.51</v>
      </c>
      <c r="N59" s="22">
        <v>0.5</v>
      </c>
      <c r="O59" s="22">
        <v>0.47</v>
      </c>
      <c r="P59" s="23">
        <v>85</v>
      </c>
      <c r="Q59" s="23">
        <v>0</v>
      </c>
      <c r="R59" s="24">
        <v>85</v>
      </c>
      <c r="S59" s="24">
        <v>85</v>
      </c>
      <c r="T59" s="24">
        <v>85</v>
      </c>
      <c r="U59" s="24">
        <v>85</v>
      </c>
      <c r="V59" s="24">
        <v>85</v>
      </c>
      <c r="W59" s="24">
        <v>85</v>
      </c>
      <c r="X59" s="25">
        <v>0.49</v>
      </c>
      <c r="Y59" s="25">
        <v>0.54</v>
      </c>
      <c r="Z59" s="25">
        <v>0.53</v>
      </c>
      <c r="AA59" s="25">
        <v>0.52</v>
      </c>
      <c r="AB59" s="25">
        <v>0.51</v>
      </c>
      <c r="AC59" s="25">
        <v>0.5</v>
      </c>
      <c r="AD59" s="26">
        <v>0.42</v>
      </c>
      <c r="AE59" s="26">
        <v>0.46</v>
      </c>
      <c r="AF59" s="26">
        <v>0.45</v>
      </c>
      <c r="AG59" s="26">
        <v>0.44</v>
      </c>
      <c r="AH59" s="26">
        <v>0.44</v>
      </c>
      <c r="AI59" s="26">
        <v>0.43</v>
      </c>
      <c r="AJ59" s="27">
        <v>50.47</v>
      </c>
      <c r="AK59" s="27">
        <v>62.09</v>
      </c>
      <c r="AL59" s="27">
        <v>61.14</v>
      </c>
      <c r="AM59" s="27">
        <v>60.2</v>
      </c>
      <c r="AN59" s="27">
        <v>59.25</v>
      </c>
      <c r="AO59" s="27">
        <v>58.31</v>
      </c>
      <c r="AP59" s="28">
        <v>10296.9</v>
      </c>
      <c r="AQ59" s="28">
        <v>11526</v>
      </c>
      <c r="AR59" s="28">
        <v>11531.1</v>
      </c>
      <c r="AS59" s="28">
        <v>11566.8</v>
      </c>
      <c r="AT59" s="28">
        <v>11515.8</v>
      </c>
      <c r="AU59" s="28">
        <v>11612.7</v>
      </c>
      <c r="AV59" s="29">
        <v>12114</v>
      </c>
      <c r="AW59" s="29">
        <v>13560</v>
      </c>
      <c r="AX59" s="29">
        <v>13566</v>
      </c>
      <c r="AY59" s="29">
        <v>13608</v>
      </c>
      <c r="AZ59" s="29">
        <v>13548</v>
      </c>
      <c r="BA59" s="29">
        <v>13662</v>
      </c>
      <c r="BB59" s="30">
        <v>141312</v>
      </c>
      <c r="BC59" s="30">
        <v>176490</v>
      </c>
      <c r="BD59" s="30">
        <v>176490</v>
      </c>
      <c r="BE59" s="30">
        <v>176490</v>
      </c>
      <c r="BF59" s="30">
        <v>176490</v>
      </c>
      <c r="BG59" s="30">
        <v>176490</v>
      </c>
    </row>
    <row r="60" spans="1:59" ht="15.75" thickBot="1" x14ac:dyDescent="0.3">
      <c r="A60" s="19" t="s">
        <v>488</v>
      </c>
      <c r="B60" s="19" t="s">
        <v>395</v>
      </c>
      <c r="C60" s="20">
        <v>1</v>
      </c>
      <c r="D60" s="20">
        <v>1</v>
      </c>
      <c r="E60" s="20">
        <v>1</v>
      </c>
      <c r="F60" s="20">
        <v>1</v>
      </c>
      <c r="G60" s="20">
        <v>1</v>
      </c>
      <c r="H60" s="20">
        <v>1</v>
      </c>
      <c r="I60" s="21">
        <v>2</v>
      </c>
      <c r="J60" s="22">
        <v>0.69</v>
      </c>
      <c r="K60" s="22">
        <v>0.56999999999999995</v>
      </c>
      <c r="L60" s="22">
        <v>0.54</v>
      </c>
      <c r="M60" s="22">
        <v>0.51</v>
      </c>
      <c r="N60" s="22">
        <v>0.5</v>
      </c>
      <c r="O60" s="22">
        <v>0.47</v>
      </c>
      <c r="P60" s="23">
        <v>85</v>
      </c>
      <c r="Q60" s="23">
        <v>0</v>
      </c>
      <c r="R60" s="24">
        <v>85</v>
      </c>
      <c r="S60" s="24">
        <v>85</v>
      </c>
      <c r="T60" s="24">
        <v>85</v>
      </c>
      <c r="U60" s="24">
        <v>85</v>
      </c>
      <c r="V60" s="24">
        <v>85</v>
      </c>
      <c r="W60" s="24">
        <v>85</v>
      </c>
      <c r="X60" s="25">
        <v>0.21</v>
      </c>
      <c r="Y60" s="25">
        <v>0.32</v>
      </c>
      <c r="Z60" s="25">
        <v>0.31</v>
      </c>
      <c r="AA60" s="25">
        <v>0.3</v>
      </c>
      <c r="AB60" s="25">
        <v>0.3</v>
      </c>
      <c r="AC60" s="25">
        <v>0.28999999999999998</v>
      </c>
      <c r="AD60" s="26">
        <v>0.18</v>
      </c>
      <c r="AE60" s="26">
        <v>0.27</v>
      </c>
      <c r="AF60" s="26">
        <v>0.26</v>
      </c>
      <c r="AG60" s="26">
        <v>0.26</v>
      </c>
      <c r="AH60" s="26">
        <v>0.26</v>
      </c>
      <c r="AI60" s="26">
        <v>0.25</v>
      </c>
      <c r="AJ60" s="27">
        <v>22.13</v>
      </c>
      <c r="AK60" s="27">
        <v>36.33</v>
      </c>
      <c r="AL60" s="27">
        <v>35.78</v>
      </c>
      <c r="AM60" s="27">
        <v>35.22</v>
      </c>
      <c r="AN60" s="27">
        <v>34.67</v>
      </c>
      <c r="AO60" s="27">
        <v>34.119999999999997</v>
      </c>
      <c r="AP60" s="28">
        <v>10296.9</v>
      </c>
      <c r="AQ60" s="28">
        <v>11526</v>
      </c>
      <c r="AR60" s="28">
        <v>11531.1</v>
      </c>
      <c r="AS60" s="28">
        <v>11566.8</v>
      </c>
      <c r="AT60" s="28">
        <v>11515.8</v>
      </c>
      <c r="AU60" s="28">
        <v>11612.7</v>
      </c>
      <c r="AV60" s="29">
        <v>12114</v>
      </c>
      <c r="AW60" s="29">
        <v>13560</v>
      </c>
      <c r="AX60" s="29">
        <v>13566</v>
      </c>
      <c r="AY60" s="29">
        <v>13608</v>
      </c>
      <c r="AZ60" s="29">
        <v>13548</v>
      </c>
      <c r="BA60" s="29">
        <v>13662</v>
      </c>
      <c r="BB60" s="30">
        <v>61976</v>
      </c>
      <c r="BC60" s="30">
        <v>103274</v>
      </c>
      <c r="BD60" s="30">
        <v>103274</v>
      </c>
      <c r="BE60" s="30">
        <v>103274</v>
      </c>
      <c r="BF60" s="30">
        <v>103274</v>
      </c>
      <c r="BG60" s="30">
        <v>103274</v>
      </c>
    </row>
    <row r="61" spans="1:59" ht="15.75" thickBot="1" x14ac:dyDescent="0.3">
      <c r="A61" s="19" t="s">
        <v>489</v>
      </c>
      <c r="B61" s="19" t="s">
        <v>396</v>
      </c>
      <c r="C61" s="20">
        <v>1</v>
      </c>
      <c r="D61" s="20">
        <v>1</v>
      </c>
      <c r="E61" s="20">
        <v>1</v>
      </c>
      <c r="F61" s="20">
        <v>1</v>
      </c>
      <c r="G61" s="20">
        <v>1</v>
      </c>
      <c r="H61" s="20">
        <v>1</v>
      </c>
      <c r="I61" s="21">
        <v>2</v>
      </c>
      <c r="J61" s="22">
        <v>0.69</v>
      </c>
      <c r="K61" s="22">
        <v>0.56999999999999995</v>
      </c>
      <c r="L61" s="22">
        <v>0.54</v>
      </c>
      <c r="M61" s="22">
        <v>0.51</v>
      </c>
      <c r="N61" s="22">
        <v>0.5</v>
      </c>
      <c r="O61" s="22">
        <v>0.47</v>
      </c>
      <c r="P61" s="23">
        <v>85</v>
      </c>
      <c r="Q61" s="23">
        <v>0</v>
      </c>
      <c r="R61" s="24">
        <v>85</v>
      </c>
      <c r="S61" s="24">
        <v>85</v>
      </c>
      <c r="T61" s="24">
        <v>85</v>
      </c>
      <c r="U61" s="24">
        <v>85</v>
      </c>
      <c r="V61" s="24">
        <v>85</v>
      </c>
      <c r="W61" s="24">
        <v>85</v>
      </c>
      <c r="X61" s="25">
        <v>0.23</v>
      </c>
      <c r="Y61" s="25">
        <v>0.21</v>
      </c>
      <c r="Z61" s="25">
        <v>0.21</v>
      </c>
      <c r="AA61" s="25">
        <v>0.21</v>
      </c>
      <c r="AB61" s="25">
        <v>0.21</v>
      </c>
      <c r="AC61" s="25">
        <v>0.2</v>
      </c>
      <c r="AD61" s="26">
        <v>0.2</v>
      </c>
      <c r="AE61" s="26">
        <v>0.18</v>
      </c>
      <c r="AF61" s="26">
        <v>0.18</v>
      </c>
      <c r="AG61" s="26">
        <v>0.18</v>
      </c>
      <c r="AH61" s="26">
        <v>0.17</v>
      </c>
      <c r="AI61" s="26">
        <v>0.17</v>
      </c>
      <c r="AJ61" s="27">
        <v>24.11</v>
      </c>
      <c r="AK61" s="27">
        <v>24.78</v>
      </c>
      <c r="AL61" s="27">
        <v>24.4</v>
      </c>
      <c r="AM61" s="27">
        <v>24.03</v>
      </c>
      <c r="AN61" s="27">
        <v>23.65</v>
      </c>
      <c r="AO61" s="27">
        <v>23.27</v>
      </c>
      <c r="AP61" s="28">
        <v>10296.9</v>
      </c>
      <c r="AQ61" s="28">
        <v>11526</v>
      </c>
      <c r="AR61" s="28">
        <v>11531.1</v>
      </c>
      <c r="AS61" s="28">
        <v>11566.8</v>
      </c>
      <c r="AT61" s="28">
        <v>11515.8</v>
      </c>
      <c r="AU61" s="28">
        <v>11612.7</v>
      </c>
      <c r="AV61" s="29">
        <v>12114</v>
      </c>
      <c r="AW61" s="29">
        <v>13560</v>
      </c>
      <c r="AX61" s="29">
        <v>13566</v>
      </c>
      <c r="AY61" s="29">
        <v>13608</v>
      </c>
      <c r="AZ61" s="29">
        <v>13548</v>
      </c>
      <c r="BA61" s="29">
        <v>13662</v>
      </c>
      <c r="BB61" s="30">
        <v>63400</v>
      </c>
      <c r="BC61" s="30">
        <v>66166</v>
      </c>
      <c r="BD61" s="30">
        <v>66166</v>
      </c>
      <c r="BE61" s="30">
        <v>66166</v>
      </c>
      <c r="BF61" s="30">
        <v>66166</v>
      </c>
      <c r="BG61" s="30">
        <v>66166</v>
      </c>
    </row>
    <row r="62" spans="1:59" ht="15.75" thickBot="1" x14ac:dyDescent="0.3">
      <c r="A62" s="19" t="s">
        <v>298</v>
      </c>
      <c r="B62" s="19" t="s">
        <v>277</v>
      </c>
      <c r="C62" s="20">
        <v>1</v>
      </c>
      <c r="D62" s="20">
        <v>1</v>
      </c>
      <c r="E62" s="20">
        <v>1</v>
      </c>
      <c r="F62" s="20">
        <v>1</v>
      </c>
      <c r="G62" s="20">
        <v>1</v>
      </c>
      <c r="H62" s="20">
        <v>1</v>
      </c>
      <c r="I62" s="21">
        <v>2</v>
      </c>
      <c r="J62" s="22">
        <v>0.69</v>
      </c>
      <c r="K62" s="22">
        <v>0.56999999999999995</v>
      </c>
      <c r="L62" s="22">
        <v>0.54</v>
      </c>
      <c r="M62" s="22">
        <v>0.51</v>
      </c>
      <c r="N62" s="22">
        <v>0.5</v>
      </c>
      <c r="O62" s="22">
        <v>0.47</v>
      </c>
      <c r="P62" s="23">
        <v>85</v>
      </c>
      <c r="Q62" s="23">
        <v>0</v>
      </c>
      <c r="R62" s="24">
        <v>85</v>
      </c>
      <c r="S62" s="24">
        <v>85</v>
      </c>
      <c r="T62" s="24">
        <v>85</v>
      </c>
      <c r="U62" s="24">
        <v>85</v>
      </c>
      <c r="V62" s="24">
        <v>85</v>
      </c>
      <c r="W62" s="24">
        <v>85</v>
      </c>
      <c r="X62" s="25">
        <v>0.05</v>
      </c>
      <c r="Y62" s="25">
        <v>0.02</v>
      </c>
      <c r="Z62" s="25">
        <v>0.02</v>
      </c>
      <c r="AA62" s="25">
        <v>0.02</v>
      </c>
      <c r="AB62" s="25">
        <v>0.02</v>
      </c>
      <c r="AC62" s="25">
        <v>0.02</v>
      </c>
      <c r="AD62" s="26">
        <v>0.04</v>
      </c>
      <c r="AE62" s="26">
        <v>0.02</v>
      </c>
      <c r="AF62" s="26">
        <v>0.02</v>
      </c>
      <c r="AG62" s="26">
        <v>0.02</v>
      </c>
      <c r="AH62" s="26">
        <v>0.02</v>
      </c>
      <c r="AI62" s="26">
        <v>0.01</v>
      </c>
      <c r="AJ62" s="27">
        <v>4.91</v>
      </c>
      <c r="AK62" s="27">
        <v>2.14</v>
      </c>
      <c r="AL62" s="27">
        <v>2.11</v>
      </c>
      <c r="AM62" s="27">
        <v>2.08</v>
      </c>
      <c r="AN62" s="27">
        <v>2.04</v>
      </c>
      <c r="AO62" s="27">
        <v>2.0099999999999998</v>
      </c>
      <c r="AP62" s="28">
        <v>10296.9</v>
      </c>
      <c r="AQ62" s="28">
        <v>11526</v>
      </c>
      <c r="AR62" s="28">
        <v>11531.1</v>
      </c>
      <c r="AS62" s="28">
        <v>11566.8</v>
      </c>
      <c r="AT62" s="28">
        <v>11515.8</v>
      </c>
      <c r="AU62" s="28">
        <v>11612.7</v>
      </c>
      <c r="AV62" s="29">
        <v>12114</v>
      </c>
      <c r="AW62" s="29">
        <v>13560</v>
      </c>
      <c r="AX62" s="29">
        <v>13566</v>
      </c>
      <c r="AY62" s="29">
        <v>13608</v>
      </c>
      <c r="AZ62" s="29">
        <v>13548</v>
      </c>
      <c r="BA62" s="29">
        <v>13662</v>
      </c>
      <c r="BB62" s="30">
        <v>7369</v>
      </c>
      <c r="BC62" s="30">
        <v>3263</v>
      </c>
      <c r="BD62" s="30">
        <v>3263</v>
      </c>
      <c r="BE62" s="30">
        <v>3263</v>
      </c>
      <c r="BF62" s="30">
        <v>3263</v>
      </c>
      <c r="BG62" s="30">
        <v>3263</v>
      </c>
    </row>
    <row r="63" spans="1:59" ht="15.75" thickBot="1" x14ac:dyDescent="0.3">
      <c r="A63" s="19" t="s">
        <v>490</v>
      </c>
      <c r="B63" s="19" t="s">
        <v>397</v>
      </c>
      <c r="C63" s="20">
        <v>1</v>
      </c>
      <c r="D63" s="20">
        <v>1</v>
      </c>
      <c r="E63" s="20">
        <v>1</v>
      </c>
      <c r="F63" s="20">
        <v>1</v>
      </c>
      <c r="G63" s="20">
        <v>1</v>
      </c>
      <c r="H63" s="20">
        <v>1</v>
      </c>
      <c r="I63" s="21">
        <v>2</v>
      </c>
      <c r="J63" s="22">
        <v>0.69</v>
      </c>
      <c r="K63" s="22">
        <v>0.56999999999999995</v>
      </c>
      <c r="L63" s="22">
        <v>0.54</v>
      </c>
      <c r="M63" s="22">
        <v>0.51</v>
      </c>
      <c r="N63" s="22">
        <v>0.5</v>
      </c>
      <c r="O63" s="22">
        <v>0.47</v>
      </c>
      <c r="P63" s="23">
        <v>85</v>
      </c>
      <c r="Q63" s="23">
        <v>0</v>
      </c>
      <c r="R63" s="24">
        <v>85</v>
      </c>
      <c r="S63" s="24">
        <v>85</v>
      </c>
      <c r="T63" s="24">
        <v>85</v>
      </c>
      <c r="U63" s="24">
        <v>85</v>
      </c>
      <c r="V63" s="24">
        <v>85</v>
      </c>
      <c r="W63" s="24">
        <v>85</v>
      </c>
      <c r="X63" s="25">
        <v>0.04</v>
      </c>
      <c r="Y63" s="25">
        <v>0.03</v>
      </c>
      <c r="Z63" s="25">
        <v>0.03</v>
      </c>
      <c r="AA63" s="25">
        <v>0.03</v>
      </c>
      <c r="AB63" s="25">
        <v>0.03</v>
      </c>
      <c r="AC63" s="25">
        <v>0.02</v>
      </c>
      <c r="AD63" s="26">
        <v>0.04</v>
      </c>
      <c r="AE63" s="26">
        <v>0.02</v>
      </c>
      <c r="AF63" s="26">
        <v>0.02</v>
      </c>
      <c r="AG63" s="26">
        <v>0.02</v>
      </c>
      <c r="AH63" s="26">
        <v>0.02</v>
      </c>
      <c r="AI63" s="26">
        <v>0.02</v>
      </c>
      <c r="AJ63" s="27">
        <v>4.2699999999999996</v>
      </c>
      <c r="AK63" s="27">
        <v>3.04</v>
      </c>
      <c r="AL63" s="27">
        <v>2.99</v>
      </c>
      <c r="AM63" s="27">
        <v>2.95</v>
      </c>
      <c r="AN63" s="27">
        <v>2.9</v>
      </c>
      <c r="AO63" s="27">
        <v>2.86</v>
      </c>
      <c r="AP63" s="28">
        <v>10296.9</v>
      </c>
      <c r="AQ63" s="28">
        <v>11526</v>
      </c>
      <c r="AR63" s="28">
        <v>11531.1</v>
      </c>
      <c r="AS63" s="28">
        <v>11566.8</v>
      </c>
      <c r="AT63" s="28">
        <v>11515.8</v>
      </c>
      <c r="AU63" s="28">
        <v>11612.7</v>
      </c>
      <c r="AV63" s="29">
        <v>12114</v>
      </c>
      <c r="AW63" s="29">
        <v>13560</v>
      </c>
      <c r="AX63" s="29">
        <v>13566</v>
      </c>
      <c r="AY63" s="29">
        <v>13608</v>
      </c>
      <c r="AZ63" s="29">
        <v>13548</v>
      </c>
      <c r="BA63" s="29">
        <v>13662</v>
      </c>
      <c r="BB63" s="30">
        <v>7000</v>
      </c>
      <c r="BC63" s="30">
        <v>5060</v>
      </c>
      <c r="BD63" s="30">
        <v>5060</v>
      </c>
      <c r="BE63" s="30">
        <v>5060</v>
      </c>
      <c r="BF63" s="30">
        <v>5060</v>
      </c>
      <c r="BG63" s="30">
        <v>5060</v>
      </c>
    </row>
    <row r="64" spans="1:59" ht="15.75" thickBot="1" x14ac:dyDescent="0.3">
      <c r="A64" s="19" t="s">
        <v>491</v>
      </c>
      <c r="B64" s="19" t="s">
        <v>398</v>
      </c>
      <c r="C64" s="20">
        <v>1</v>
      </c>
      <c r="D64" s="20">
        <v>1</v>
      </c>
      <c r="E64" s="20">
        <v>1</v>
      </c>
      <c r="F64" s="20">
        <v>1</v>
      </c>
      <c r="G64" s="20">
        <v>1</v>
      </c>
      <c r="H64" s="20">
        <v>1</v>
      </c>
      <c r="I64" s="21">
        <v>2</v>
      </c>
      <c r="J64" s="22">
        <v>0.69</v>
      </c>
      <c r="K64" s="22">
        <v>0.56999999999999995</v>
      </c>
      <c r="L64" s="22">
        <v>0.54</v>
      </c>
      <c r="M64" s="22">
        <v>0.51</v>
      </c>
      <c r="N64" s="22">
        <v>0.5</v>
      </c>
      <c r="O64" s="22">
        <v>0.47</v>
      </c>
      <c r="P64" s="23">
        <v>85</v>
      </c>
      <c r="Q64" s="23">
        <v>0</v>
      </c>
      <c r="R64" s="24">
        <v>85</v>
      </c>
      <c r="S64" s="24">
        <v>85</v>
      </c>
      <c r="T64" s="24">
        <v>85</v>
      </c>
      <c r="U64" s="24">
        <v>85</v>
      </c>
      <c r="V64" s="24">
        <v>85</v>
      </c>
      <c r="W64" s="24">
        <v>85</v>
      </c>
      <c r="X64" s="25">
        <v>0.04</v>
      </c>
      <c r="Y64" s="25">
        <v>0.04</v>
      </c>
      <c r="Z64" s="25">
        <v>0.03</v>
      </c>
      <c r="AA64" s="25">
        <v>0.03</v>
      </c>
      <c r="AB64" s="25">
        <v>0.03</v>
      </c>
      <c r="AC64" s="25">
        <v>0.03</v>
      </c>
      <c r="AD64" s="26">
        <v>0.03</v>
      </c>
      <c r="AE64" s="26">
        <v>0.03</v>
      </c>
      <c r="AF64" s="26">
        <v>0.03</v>
      </c>
      <c r="AG64" s="26">
        <v>0.03</v>
      </c>
      <c r="AH64" s="26">
        <v>0.03</v>
      </c>
      <c r="AI64" s="26">
        <v>0.03</v>
      </c>
      <c r="AJ64" s="27">
        <v>4</v>
      </c>
      <c r="AK64" s="27">
        <v>4.04</v>
      </c>
      <c r="AL64" s="27">
        <v>3.98</v>
      </c>
      <c r="AM64" s="27">
        <v>3.92</v>
      </c>
      <c r="AN64" s="27">
        <v>3.86</v>
      </c>
      <c r="AO64" s="27">
        <v>3.8</v>
      </c>
      <c r="AP64" s="28">
        <v>10296.9</v>
      </c>
      <c r="AQ64" s="28">
        <v>11526</v>
      </c>
      <c r="AR64" s="28">
        <v>11531.1</v>
      </c>
      <c r="AS64" s="28">
        <v>11566.8</v>
      </c>
      <c r="AT64" s="28">
        <v>11515.8</v>
      </c>
      <c r="AU64" s="28">
        <v>11612.7</v>
      </c>
      <c r="AV64" s="29">
        <v>12114</v>
      </c>
      <c r="AW64" s="29">
        <v>13560</v>
      </c>
      <c r="AX64" s="29">
        <v>13566</v>
      </c>
      <c r="AY64" s="29">
        <v>13608</v>
      </c>
      <c r="AZ64" s="29">
        <v>13548</v>
      </c>
      <c r="BA64" s="29">
        <v>13662</v>
      </c>
      <c r="BB64" s="30">
        <v>12804</v>
      </c>
      <c r="BC64" s="30">
        <v>13138</v>
      </c>
      <c r="BD64" s="30">
        <v>13138</v>
      </c>
      <c r="BE64" s="30">
        <v>13138</v>
      </c>
      <c r="BF64" s="30">
        <v>13138</v>
      </c>
      <c r="BG64" s="30">
        <v>13138</v>
      </c>
    </row>
    <row r="65" spans="1:59" ht="15.75" thickBot="1" x14ac:dyDescent="0.3">
      <c r="A65" s="19" t="s">
        <v>492</v>
      </c>
      <c r="B65" s="19" t="s">
        <v>399</v>
      </c>
      <c r="C65" s="20">
        <v>1</v>
      </c>
      <c r="D65" s="20">
        <v>1</v>
      </c>
      <c r="E65" s="20">
        <v>1</v>
      </c>
      <c r="F65" s="20">
        <v>1</v>
      </c>
      <c r="G65" s="20">
        <v>1</v>
      </c>
      <c r="H65" s="20">
        <v>1</v>
      </c>
      <c r="I65" s="21">
        <v>2</v>
      </c>
      <c r="J65" s="22">
        <v>0.69</v>
      </c>
      <c r="K65" s="22">
        <v>0.56999999999999995</v>
      </c>
      <c r="L65" s="22">
        <v>0.54</v>
      </c>
      <c r="M65" s="22">
        <v>0.51</v>
      </c>
      <c r="N65" s="22">
        <v>0.5</v>
      </c>
      <c r="O65" s="22">
        <v>0.47</v>
      </c>
      <c r="P65" s="23">
        <v>85</v>
      </c>
      <c r="Q65" s="23">
        <v>0</v>
      </c>
      <c r="R65" s="24">
        <v>85</v>
      </c>
      <c r="S65" s="24">
        <v>85</v>
      </c>
      <c r="T65" s="24">
        <v>85</v>
      </c>
      <c r="U65" s="24">
        <v>85</v>
      </c>
      <c r="V65" s="24">
        <v>85</v>
      </c>
      <c r="W65" s="24">
        <v>85</v>
      </c>
      <c r="X65" s="25">
        <v>0.03</v>
      </c>
      <c r="Y65" s="25">
        <v>0.11</v>
      </c>
      <c r="Z65" s="25">
        <v>0.1</v>
      </c>
      <c r="AA65" s="25">
        <v>0.1</v>
      </c>
      <c r="AB65" s="25">
        <v>0.1</v>
      </c>
      <c r="AC65" s="25">
        <v>0.1</v>
      </c>
      <c r="AD65" s="26">
        <v>0.03</v>
      </c>
      <c r="AE65" s="26">
        <v>0.09</v>
      </c>
      <c r="AF65" s="26">
        <v>0.09</v>
      </c>
      <c r="AG65" s="26">
        <v>0.09</v>
      </c>
      <c r="AH65" s="26">
        <v>0.09</v>
      </c>
      <c r="AI65" s="26">
        <v>0.08</v>
      </c>
      <c r="AJ65" s="27">
        <v>3.07</v>
      </c>
      <c r="AK65" s="27">
        <v>12.2</v>
      </c>
      <c r="AL65" s="27">
        <v>12.01</v>
      </c>
      <c r="AM65" s="27">
        <v>11.83</v>
      </c>
      <c r="AN65" s="27">
        <v>11.64</v>
      </c>
      <c r="AO65" s="27">
        <v>11.45</v>
      </c>
      <c r="AP65" s="28">
        <v>10296.9</v>
      </c>
      <c r="AQ65" s="28">
        <v>11526</v>
      </c>
      <c r="AR65" s="28">
        <v>11531.1</v>
      </c>
      <c r="AS65" s="28">
        <v>11566.8</v>
      </c>
      <c r="AT65" s="28">
        <v>11515.8</v>
      </c>
      <c r="AU65" s="28">
        <v>11612.7</v>
      </c>
      <c r="AV65" s="29">
        <v>12114</v>
      </c>
      <c r="AW65" s="29">
        <v>13560</v>
      </c>
      <c r="AX65" s="29">
        <v>13566</v>
      </c>
      <c r="AY65" s="29">
        <v>13608</v>
      </c>
      <c r="AZ65" s="29">
        <v>13548</v>
      </c>
      <c r="BA65" s="29">
        <v>13662</v>
      </c>
      <c r="BB65" s="30">
        <v>5064</v>
      </c>
      <c r="BC65" s="30">
        <v>20432</v>
      </c>
      <c r="BD65" s="30">
        <v>20432</v>
      </c>
      <c r="BE65" s="30">
        <v>20432</v>
      </c>
      <c r="BF65" s="30">
        <v>20432</v>
      </c>
      <c r="BG65" s="30">
        <v>20432</v>
      </c>
    </row>
    <row r="66" spans="1:59" ht="15.75" thickBot="1" x14ac:dyDescent="0.3">
      <c r="A66" s="19" t="s">
        <v>493</v>
      </c>
      <c r="B66" s="19" t="s">
        <v>400</v>
      </c>
      <c r="C66" s="20">
        <v>1</v>
      </c>
      <c r="D66" s="20">
        <v>1</v>
      </c>
      <c r="E66" s="20">
        <v>1</v>
      </c>
      <c r="F66" s="20">
        <v>1</v>
      </c>
      <c r="G66" s="20">
        <v>1</v>
      </c>
      <c r="H66" s="20">
        <v>1</v>
      </c>
      <c r="I66" s="21">
        <v>2</v>
      </c>
      <c r="J66" s="22">
        <v>0.69</v>
      </c>
      <c r="K66" s="22">
        <v>0.56999999999999995</v>
      </c>
      <c r="L66" s="22">
        <v>0.54</v>
      </c>
      <c r="M66" s="22">
        <v>0.51</v>
      </c>
      <c r="N66" s="22">
        <v>0.5</v>
      </c>
      <c r="O66" s="22">
        <v>0.47</v>
      </c>
      <c r="P66" s="23">
        <v>85</v>
      </c>
      <c r="Q66" s="23">
        <v>0</v>
      </c>
      <c r="R66" s="24">
        <v>85</v>
      </c>
      <c r="S66" s="24">
        <v>85</v>
      </c>
      <c r="T66" s="24">
        <v>85</v>
      </c>
      <c r="U66" s="24">
        <v>85</v>
      </c>
      <c r="V66" s="24">
        <v>85</v>
      </c>
      <c r="W66" s="24">
        <v>85</v>
      </c>
      <c r="X66" s="25">
        <v>0.05</v>
      </c>
      <c r="Y66" s="25">
        <v>0.08</v>
      </c>
      <c r="Z66" s="25">
        <v>7.0000000000000007E-2</v>
      </c>
      <c r="AA66" s="25">
        <v>7.0000000000000007E-2</v>
      </c>
      <c r="AB66" s="25">
        <v>7.0000000000000007E-2</v>
      </c>
      <c r="AC66" s="25">
        <v>7.0000000000000007E-2</v>
      </c>
      <c r="AD66" s="26">
        <v>0.05</v>
      </c>
      <c r="AE66" s="26">
        <v>0.06</v>
      </c>
      <c r="AF66" s="26">
        <v>0.06</v>
      </c>
      <c r="AG66" s="26">
        <v>0.06</v>
      </c>
      <c r="AH66" s="26">
        <v>0.06</v>
      </c>
      <c r="AI66" s="26">
        <v>0.06</v>
      </c>
      <c r="AJ66" s="27">
        <v>5.64</v>
      </c>
      <c r="AK66" s="27">
        <v>8.74</v>
      </c>
      <c r="AL66" s="27">
        <v>8.61</v>
      </c>
      <c r="AM66" s="27">
        <v>8.4700000000000006</v>
      </c>
      <c r="AN66" s="27">
        <v>8.34</v>
      </c>
      <c r="AO66" s="27">
        <v>8.2100000000000009</v>
      </c>
      <c r="AP66" s="28">
        <v>10296.9</v>
      </c>
      <c r="AQ66" s="28">
        <v>11526</v>
      </c>
      <c r="AR66" s="28">
        <v>11531.1</v>
      </c>
      <c r="AS66" s="28">
        <v>11566.8</v>
      </c>
      <c r="AT66" s="28">
        <v>11515.8</v>
      </c>
      <c r="AU66" s="28">
        <v>11612.7</v>
      </c>
      <c r="AV66" s="29">
        <v>12114</v>
      </c>
      <c r="AW66" s="29">
        <v>13560</v>
      </c>
      <c r="AX66" s="29">
        <v>13566</v>
      </c>
      <c r="AY66" s="29">
        <v>13608</v>
      </c>
      <c r="AZ66" s="29">
        <v>13548</v>
      </c>
      <c r="BA66" s="29">
        <v>13662</v>
      </c>
      <c r="BB66" s="30">
        <v>14899</v>
      </c>
      <c r="BC66" s="30">
        <v>23421</v>
      </c>
      <c r="BD66" s="30">
        <v>23421</v>
      </c>
      <c r="BE66" s="30">
        <v>23421</v>
      </c>
      <c r="BF66" s="30">
        <v>23421</v>
      </c>
      <c r="BG66" s="30">
        <v>23421</v>
      </c>
    </row>
    <row r="67" spans="1:59" ht="15.75" thickBot="1" x14ac:dyDescent="0.3">
      <c r="A67" s="19" t="s">
        <v>494</v>
      </c>
      <c r="B67" s="19" t="s">
        <v>401</v>
      </c>
      <c r="C67" s="20">
        <v>1</v>
      </c>
      <c r="D67" s="20">
        <v>1</v>
      </c>
      <c r="E67" s="20">
        <v>1</v>
      </c>
      <c r="F67" s="20">
        <v>1</v>
      </c>
      <c r="G67" s="20">
        <v>1</v>
      </c>
      <c r="H67" s="20">
        <v>1</v>
      </c>
      <c r="I67" s="21">
        <v>2</v>
      </c>
      <c r="J67" s="22">
        <v>0.69</v>
      </c>
      <c r="K67" s="22">
        <v>0.56999999999999995</v>
      </c>
      <c r="L67" s="22">
        <v>0.54</v>
      </c>
      <c r="M67" s="22">
        <v>0.51</v>
      </c>
      <c r="N67" s="22">
        <v>0.5</v>
      </c>
      <c r="O67" s="22">
        <v>0.47</v>
      </c>
      <c r="P67" s="23">
        <v>85</v>
      </c>
      <c r="Q67" s="23">
        <v>0</v>
      </c>
      <c r="R67" s="24">
        <v>85</v>
      </c>
      <c r="S67" s="24">
        <v>85</v>
      </c>
      <c r="T67" s="24">
        <v>85</v>
      </c>
      <c r="U67" s="24">
        <v>85</v>
      </c>
      <c r="V67" s="24">
        <v>85</v>
      </c>
      <c r="W67" s="24">
        <v>85</v>
      </c>
      <c r="X67" s="25">
        <v>0</v>
      </c>
      <c r="Y67" s="25">
        <v>7.0000000000000007E-2</v>
      </c>
      <c r="Z67" s="25">
        <v>7.0000000000000007E-2</v>
      </c>
      <c r="AA67" s="25">
        <v>7.0000000000000007E-2</v>
      </c>
      <c r="AB67" s="25">
        <v>7.0000000000000007E-2</v>
      </c>
      <c r="AC67" s="25">
        <v>7.0000000000000007E-2</v>
      </c>
      <c r="AD67" s="26">
        <v>0</v>
      </c>
      <c r="AE67" s="26">
        <v>0.06</v>
      </c>
      <c r="AF67" s="26">
        <v>0.06</v>
      </c>
      <c r="AG67" s="26">
        <v>0.06</v>
      </c>
      <c r="AH67" s="26">
        <v>0.06</v>
      </c>
      <c r="AI67" s="26">
        <v>0.06</v>
      </c>
      <c r="AJ67" s="27">
        <v>0</v>
      </c>
      <c r="AK67" s="27">
        <v>8.1</v>
      </c>
      <c r="AL67" s="27">
        <v>7.98</v>
      </c>
      <c r="AM67" s="27">
        <v>7.86</v>
      </c>
      <c r="AN67" s="27">
        <v>7.73</v>
      </c>
      <c r="AO67" s="27">
        <v>7.61</v>
      </c>
      <c r="AP67" s="28">
        <v>10296.9</v>
      </c>
      <c r="AQ67" s="28">
        <v>11526</v>
      </c>
      <c r="AR67" s="28">
        <v>11531.1</v>
      </c>
      <c r="AS67" s="28">
        <v>11566.8</v>
      </c>
      <c r="AT67" s="28">
        <v>11515.8</v>
      </c>
      <c r="AU67" s="28">
        <v>11612.7</v>
      </c>
      <c r="AV67" s="29">
        <v>12114</v>
      </c>
      <c r="AW67" s="29">
        <v>13560</v>
      </c>
      <c r="AX67" s="29">
        <v>13566</v>
      </c>
      <c r="AY67" s="29">
        <v>13608</v>
      </c>
      <c r="AZ67" s="29">
        <v>13548</v>
      </c>
      <c r="BA67" s="29">
        <v>13662</v>
      </c>
      <c r="BB67" s="30">
        <v>0</v>
      </c>
      <c r="BC67" s="30">
        <v>17051</v>
      </c>
      <c r="BD67" s="30">
        <v>17051</v>
      </c>
      <c r="BE67" s="30">
        <v>17051</v>
      </c>
      <c r="BF67" s="30">
        <v>17051</v>
      </c>
      <c r="BG67" s="30">
        <v>17051</v>
      </c>
    </row>
    <row r="68" spans="1:59" ht="15.75" thickBot="1" x14ac:dyDescent="0.3">
      <c r="A68" s="19" t="s">
        <v>495</v>
      </c>
      <c r="B68" s="19" t="s">
        <v>402</v>
      </c>
      <c r="C68" s="20">
        <v>1</v>
      </c>
      <c r="D68" s="20">
        <v>1</v>
      </c>
      <c r="E68" s="20">
        <v>1</v>
      </c>
      <c r="F68" s="20">
        <v>1</v>
      </c>
      <c r="G68" s="20">
        <v>1</v>
      </c>
      <c r="H68" s="20">
        <v>1</v>
      </c>
      <c r="I68" s="21">
        <v>2</v>
      </c>
      <c r="J68" s="22">
        <v>0.69</v>
      </c>
      <c r="K68" s="22">
        <v>0.56999999999999995</v>
      </c>
      <c r="L68" s="22">
        <v>0.54</v>
      </c>
      <c r="M68" s="22">
        <v>0.51</v>
      </c>
      <c r="N68" s="22">
        <v>0.5</v>
      </c>
      <c r="O68" s="22">
        <v>0.47</v>
      </c>
      <c r="P68" s="23">
        <v>85</v>
      </c>
      <c r="Q68" s="23">
        <v>0</v>
      </c>
      <c r="R68" s="24">
        <v>85</v>
      </c>
      <c r="S68" s="24">
        <v>85</v>
      </c>
      <c r="T68" s="24">
        <v>85</v>
      </c>
      <c r="U68" s="24">
        <v>85</v>
      </c>
      <c r="V68" s="24">
        <v>85</v>
      </c>
      <c r="W68" s="24">
        <v>85</v>
      </c>
      <c r="X68" s="25">
        <v>0.01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6">
        <v>0.01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7">
        <v>0.79</v>
      </c>
      <c r="AK68" s="27">
        <v>0.27</v>
      </c>
      <c r="AL68" s="27">
        <v>0.26</v>
      </c>
      <c r="AM68" s="27">
        <v>0.26</v>
      </c>
      <c r="AN68" s="27">
        <v>0.26</v>
      </c>
      <c r="AO68" s="27">
        <v>0.25</v>
      </c>
      <c r="AP68" s="28">
        <v>10296.9</v>
      </c>
      <c r="AQ68" s="28">
        <v>11526</v>
      </c>
      <c r="AR68" s="28">
        <v>11531.1</v>
      </c>
      <c r="AS68" s="28">
        <v>11566.8</v>
      </c>
      <c r="AT68" s="28">
        <v>11515.8</v>
      </c>
      <c r="AU68" s="28">
        <v>11612.7</v>
      </c>
      <c r="AV68" s="29">
        <v>12114</v>
      </c>
      <c r="AW68" s="29">
        <v>13560</v>
      </c>
      <c r="AX68" s="29">
        <v>13566</v>
      </c>
      <c r="AY68" s="29">
        <v>13608</v>
      </c>
      <c r="AZ68" s="29">
        <v>13548</v>
      </c>
      <c r="BA68" s="29">
        <v>13662</v>
      </c>
      <c r="BB68" s="30">
        <v>9500</v>
      </c>
      <c r="BC68" s="30">
        <v>3268</v>
      </c>
      <c r="BD68" s="30">
        <v>3268</v>
      </c>
      <c r="BE68" s="30">
        <v>3268</v>
      </c>
      <c r="BF68" s="30">
        <v>3268</v>
      </c>
      <c r="BG68" s="30">
        <v>3268</v>
      </c>
    </row>
    <row r="69" spans="1:59" ht="15.75" thickBot="1" x14ac:dyDescent="0.3">
      <c r="A69" s="19" t="s">
        <v>343</v>
      </c>
      <c r="B69" s="19" t="s">
        <v>318</v>
      </c>
      <c r="C69" s="20">
        <v>1</v>
      </c>
      <c r="D69" s="20">
        <v>1</v>
      </c>
      <c r="E69" s="20">
        <v>1</v>
      </c>
      <c r="F69" s="20">
        <v>1</v>
      </c>
      <c r="G69" s="20">
        <v>1</v>
      </c>
      <c r="H69" s="20">
        <v>1</v>
      </c>
      <c r="I69" s="21">
        <v>2</v>
      </c>
      <c r="J69" s="22">
        <v>0.69</v>
      </c>
      <c r="K69" s="22">
        <v>0.56999999999999995</v>
      </c>
      <c r="L69" s="22">
        <v>0.54</v>
      </c>
      <c r="M69" s="22">
        <v>0.51</v>
      </c>
      <c r="N69" s="22">
        <v>0.5</v>
      </c>
      <c r="O69" s="22">
        <v>0.47</v>
      </c>
      <c r="P69" s="23">
        <v>85</v>
      </c>
      <c r="Q69" s="23">
        <v>0</v>
      </c>
      <c r="R69" s="24">
        <v>85</v>
      </c>
      <c r="S69" s="24">
        <v>85</v>
      </c>
      <c r="T69" s="24">
        <v>85</v>
      </c>
      <c r="U69" s="24">
        <v>85</v>
      </c>
      <c r="V69" s="24">
        <v>85</v>
      </c>
      <c r="W69" s="24">
        <v>85</v>
      </c>
      <c r="X69" s="25">
        <v>0.34</v>
      </c>
      <c r="Y69" s="25">
        <v>0.27</v>
      </c>
      <c r="Z69" s="25">
        <v>0.26</v>
      </c>
      <c r="AA69" s="25">
        <v>0.26</v>
      </c>
      <c r="AB69" s="25">
        <v>0.25</v>
      </c>
      <c r="AC69" s="25">
        <v>0.25</v>
      </c>
      <c r="AD69" s="26">
        <v>0.28999999999999998</v>
      </c>
      <c r="AE69" s="26">
        <v>0.23</v>
      </c>
      <c r="AF69" s="26">
        <v>0.22</v>
      </c>
      <c r="AG69" s="26">
        <v>0.22</v>
      </c>
      <c r="AH69" s="26">
        <v>0.22</v>
      </c>
      <c r="AI69" s="26">
        <v>0.21</v>
      </c>
      <c r="AJ69" s="27">
        <v>35.479999999999997</v>
      </c>
      <c r="AK69" s="27">
        <v>30.72</v>
      </c>
      <c r="AL69" s="27">
        <v>30.25</v>
      </c>
      <c r="AM69" s="27">
        <v>29.79</v>
      </c>
      <c r="AN69" s="27">
        <v>29.32</v>
      </c>
      <c r="AO69" s="27">
        <v>28.85</v>
      </c>
      <c r="AP69" s="28">
        <v>10296.9</v>
      </c>
      <c r="AQ69" s="28">
        <v>11526</v>
      </c>
      <c r="AR69" s="28">
        <v>11531.1</v>
      </c>
      <c r="AS69" s="28">
        <v>11566.8</v>
      </c>
      <c r="AT69" s="28">
        <v>11515.8</v>
      </c>
      <c r="AU69" s="28">
        <v>11612.7</v>
      </c>
      <c r="AV69" s="29">
        <v>12114</v>
      </c>
      <c r="AW69" s="29">
        <v>13560</v>
      </c>
      <c r="AX69" s="29">
        <v>13566</v>
      </c>
      <c r="AY69" s="29">
        <v>13608</v>
      </c>
      <c r="AZ69" s="29">
        <v>13548</v>
      </c>
      <c r="BA69" s="29">
        <v>13662</v>
      </c>
      <c r="BB69" s="30">
        <v>134118</v>
      </c>
      <c r="BC69" s="30">
        <v>117897</v>
      </c>
      <c r="BD69" s="30">
        <v>117897</v>
      </c>
      <c r="BE69" s="30">
        <v>117897</v>
      </c>
      <c r="BF69" s="30">
        <v>117897</v>
      </c>
      <c r="BG69" s="30">
        <v>117897</v>
      </c>
    </row>
    <row r="70" spans="1:59" ht="15.75" thickBot="1" x14ac:dyDescent="0.3">
      <c r="A70" s="19" t="s">
        <v>344</v>
      </c>
      <c r="B70" s="19" t="s">
        <v>319</v>
      </c>
      <c r="C70" s="20">
        <v>1</v>
      </c>
      <c r="D70" s="20">
        <v>1</v>
      </c>
      <c r="E70" s="20">
        <v>1</v>
      </c>
      <c r="F70" s="20">
        <v>1</v>
      </c>
      <c r="G70" s="20">
        <v>1</v>
      </c>
      <c r="H70" s="20">
        <v>1</v>
      </c>
      <c r="I70" s="21">
        <v>2</v>
      </c>
      <c r="J70" s="22">
        <v>0.69</v>
      </c>
      <c r="K70" s="22">
        <v>0.56999999999999995</v>
      </c>
      <c r="L70" s="22">
        <v>0.54</v>
      </c>
      <c r="M70" s="22">
        <v>0.51</v>
      </c>
      <c r="N70" s="22">
        <v>0.5</v>
      </c>
      <c r="O70" s="22">
        <v>0.47</v>
      </c>
      <c r="P70" s="23">
        <v>85</v>
      </c>
      <c r="Q70" s="23">
        <v>0</v>
      </c>
      <c r="R70" s="24">
        <v>85</v>
      </c>
      <c r="S70" s="24">
        <v>85</v>
      </c>
      <c r="T70" s="24">
        <v>85</v>
      </c>
      <c r="U70" s="24">
        <v>85</v>
      </c>
      <c r="V70" s="24">
        <v>85</v>
      </c>
      <c r="W70" s="24">
        <v>85</v>
      </c>
      <c r="X70" s="25">
        <v>0.09</v>
      </c>
      <c r="Y70" s="25">
        <v>0.08</v>
      </c>
      <c r="Z70" s="25">
        <v>7.0000000000000007E-2</v>
      </c>
      <c r="AA70" s="25">
        <v>7.0000000000000007E-2</v>
      </c>
      <c r="AB70" s="25">
        <v>7.0000000000000007E-2</v>
      </c>
      <c r="AC70" s="25">
        <v>7.0000000000000007E-2</v>
      </c>
      <c r="AD70" s="26">
        <v>0.08</v>
      </c>
      <c r="AE70" s="26">
        <v>0.06</v>
      </c>
      <c r="AF70" s="26">
        <v>0.06</v>
      </c>
      <c r="AG70" s="26">
        <v>0.06</v>
      </c>
      <c r="AH70" s="26">
        <v>0.06</v>
      </c>
      <c r="AI70" s="26">
        <v>0.06</v>
      </c>
      <c r="AJ70" s="27">
        <v>9.36</v>
      </c>
      <c r="AK70" s="27">
        <v>8.69</v>
      </c>
      <c r="AL70" s="27">
        <v>8.56</v>
      </c>
      <c r="AM70" s="27">
        <v>8.43</v>
      </c>
      <c r="AN70" s="27">
        <v>8.3000000000000007</v>
      </c>
      <c r="AO70" s="27">
        <v>8.17</v>
      </c>
      <c r="AP70" s="28">
        <v>10296.9</v>
      </c>
      <c r="AQ70" s="28">
        <v>11526</v>
      </c>
      <c r="AR70" s="28">
        <v>11531.1</v>
      </c>
      <c r="AS70" s="28">
        <v>11566.8</v>
      </c>
      <c r="AT70" s="28">
        <v>11515.8</v>
      </c>
      <c r="AU70" s="28">
        <v>11612.7</v>
      </c>
      <c r="AV70" s="29">
        <v>12114</v>
      </c>
      <c r="AW70" s="29">
        <v>13560</v>
      </c>
      <c r="AX70" s="29">
        <v>13566</v>
      </c>
      <c r="AY70" s="29">
        <v>13608</v>
      </c>
      <c r="AZ70" s="29">
        <v>13548</v>
      </c>
      <c r="BA70" s="29">
        <v>13662</v>
      </c>
      <c r="BB70" s="30">
        <v>30217</v>
      </c>
      <c r="BC70" s="30">
        <v>28512</v>
      </c>
      <c r="BD70" s="30">
        <v>28512</v>
      </c>
      <c r="BE70" s="30">
        <v>28512</v>
      </c>
      <c r="BF70" s="30">
        <v>28512</v>
      </c>
      <c r="BG70" s="30">
        <v>28512</v>
      </c>
    </row>
    <row r="71" spans="1:59" ht="15.75" thickBot="1" x14ac:dyDescent="0.3">
      <c r="A71" s="19" t="s">
        <v>345</v>
      </c>
      <c r="B71" s="19" t="s">
        <v>320</v>
      </c>
      <c r="C71" s="20">
        <v>1</v>
      </c>
      <c r="D71" s="20">
        <v>1</v>
      </c>
      <c r="E71" s="20">
        <v>1</v>
      </c>
      <c r="F71" s="20">
        <v>1</v>
      </c>
      <c r="G71" s="20">
        <v>1</v>
      </c>
      <c r="H71" s="20">
        <v>1</v>
      </c>
      <c r="I71" s="21">
        <v>2</v>
      </c>
      <c r="J71" s="22">
        <v>0.69</v>
      </c>
      <c r="K71" s="22">
        <v>0.56999999999999995</v>
      </c>
      <c r="L71" s="22">
        <v>0.54</v>
      </c>
      <c r="M71" s="22">
        <v>0.51</v>
      </c>
      <c r="N71" s="22">
        <v>0.5</v>
      </c>
      <c r="O71" s="22">
        <v>0.47</v>
      </c>
      <c r="P71" s="23">
        <v>85</v>
      </c>
      <c r="Q71" s="23">
        <v>0</v>
      </c>
      <c r="R71" s="24">
        <v>85</v>
      </c>
      <c r="S71" s="24">
        <v>85</v>
      </c>
      <c r="T71" s="24">
        <v>85</v>
      </c>
      <c r="U71" s="24">
        <v>85</v>
      </c>
      <c r="V71" s="24">
        <v>85</v>
      </c>
      <c r="W71" s="24">
        <v>85</v>
      </c>
      <c r="X71" s="25">
        <v>0.93</v>
      </c>
      <c r="Y71" s="25">
        <v>0.57999999999999996</v>
      </c>
      <c r="Z71" s="25">
        <v>0.56999999999999995</v>
      </c>
      <c r="AA71" s="25">
        <v>0.56000000000000005</v>
      </c>
      <c r="AB71" s="25">
        <v>0.56000000000000005</v>
      </c>
      <c r="AC71" s="25">
        <v>0.54</v>
      </c>
      <c r="AD71" s="26">
        <v>0.79</v>
      </c>
      <c r="AE71" s="26">
        <v>0.49</v>
      </c>
      <c r="AF71" s="26">
        <v>0.49</v>
      </c>
      <c r="AG71" s="26">
        <v>0.48</v>
      </c>
      <c r="AH71" s="26">
        <v>0.47</v>
      </c>
      <c r="AI71" s="26">
        <v>0.46</v>
      </c>
      <c r="AJ71" s="27">
        <v>95.39</v>
      </c>
      <c r="AK71" s="27">
        <v>66.98</v>
      </c>
      <c r="AL71" s="27">
        <v>65.959999999999994</v>
      </c>
      <c r="AM71" s="27">
        <v>64.94</v>
      </c>
      <c r="AN71" s="27">
        <v>63.92</v>
      </c>
      <c r="AO71" s="27">
        <v>62.9</v>
      </c>
      <c r="AP71" s="28">
        <v>10296.9</v>
      </c>
      <c r="AQ71" s="28">
        <v>11526</v>
      </c>
      <c r="AR71" s="28">
        <v>11531.1</v>
      </c>
      <c r="AS71" s="28">
        <v>11566.8</v>
      </c>
      <c r="AT71" s="28">
        <v>11515.8</v>
      </c>
      <c r="AU71" s="28">
        <v>11612.7</v>
      </c>
      <c r="AV71" s="29">
        <v>12114</v>
      </c>
      <c r="AW71" s="29">
        <v>13560</v>
      </c>
      <c r="AX71" s="29">
        <v>13566</v>
      </c>
      <c r="AY71" s="29">
        <v>13608</v>
      </c>
      <c r="AZ71" s="29">
        <v>13548</v>
      </c>
      <c r="BA71" s="29">
        <v>13662</v>
      </c>
      <c r="BB71" s="30">
        <v>373934</v>
      </c>
      <c r="BC71" s="30">
        <v>266549</v>
      </c>
      <c r="BD71" s="30">
        <v>266549</v>
      </c>
      <c r="BE71" s="30">
        <v>266549</v>
      </c>
      <c r="BF71" s="30">
        <v>266549</v>
      </c>
      <c r="BG71" s="30">
        <v>266549</v>
      </c>
    </row>
    <row r="72" spans="1:59" ht="15.75" thickBot="1" x14ac:dyDescent="0.3">
      <c r="A72" s="19" t="s">
        <v>496</v>
      </c>
      <c r="B72" s="19" t="s">
        <v>403</v>
      </c>
      <c r="C72" s="20">
        <v>1</v>
      </c>
      <c r="D72" s="20">
        <v>1</v>
      </c>
      <c r="E72" s="20">
        <v>1</v>
      </c>
      <c r="F72" s="20">
        <v>1</v>
      </c>
      <c r="G72" s="20">
        <v>1</v>
      </c>
      <c r="H72" s="20">
        <v>1</v>
      </c>
      <c r="I72" s="21">
        <v>2</v>
      </c>
      <c r="J72" s="22">
        <v>0.69</v>
      </c>
      <c r="K72" s="22">
        <v>0.56999999999999995</v>
      </c>
      <c r="L72" s="22">
        <v>0.54</v>
      </c>
      <c r="M72" s="22">
        <v>0.51</v>
      </c>
      <c r="N72" s="22">
        <v>0.5</v>
      </c>
      <c r="O72" s="22">
        <v>0.47</v>
      </c>
      <c r="P72" s="23">
        <v>85</v>
      </c>
      <c r="Q72" s="23">
        <v>0</v>
      </c>
      <c r="R72" s="24">
        <v>85</v>
      </c>
      <c r="S72" s="24">
        <v>85</v>
      </c>
      <c r="T72" s="24">
        <v>85</v>
      </c>
      <c r="U72" s="24">
        <v>85</v>
      </c>
      <c r="V72" s="24">
        <v>85</v>
      </c>
      <c r="W72" s="24">
        <v>85</v>
      </c>
      <c r="X72" s="25">
        <v>7.0000000000000007E-2</v>
      </c>
      <c r="Y72" s="25">
        <v>0.08</v>
      </c>
      <c r="Z72" s="25">
        <v>0.08</v>
      </c>
      <c r="AA72" s="25">
        <v>0.08</v>
      </c>
      <c r="AB72" s="25">
        <v>0.08</v>
      </c>
      <c r="AC72" s="25">
        <v>0.08</v>
      </c>
      <c r="AD72" s="26">
        <v>0.06</v>
      </c>
      <c r="AE72" s="26">
        <v>7.0000000000000007E-2</v>
      </c>
      <c r="AF72" s="26">
        <v>7.0000000000000007E-2</v>
      </c>
      <c r="AG72" s="26">
        <v>7.0000000000000007E-2</v>
      </c>
      <c r="AH72" s="26">
        <v>7.0000000000000007E-2</v>
      </c>
      <c r="AI72" s="26">
        <v>7.0000000000000007E-2</v>
      </c>
      <c r="AJ72" s="27">
        <v>7.41</v>
      </c>
      <c r="AK72" s="27">
        <v>9.74</v>
      </c>
      <c r="AL72" s="27">
        <v>9.59</v>
      </c>
      <c r="AM72" s="27">
        <v>9.4499999999999993</v>
      </c>
      <c r="AN72" s="27">
        <v>9.3000000000000007</v>
      </c>
      <c r="AO72" s="27">
        <v>9.15</v>
      </c>
      <c r="AP72" s="28">
        <v>10296.9</v>
      </c>
      <c r="AQ72" s="28">
        <v>11526</v>
      </c>
      <c r="AR72" s="28">
        <v>11531.1</v>
      </c>
      <c r="AS72" s="28">
        <v>11566.8</v>
      </c>
      <c r="AT72" s="28">
        <v>11515.8</v>
      </c>
      <c r="AU72" s="28">
        <v>11612.7</v>
      </c>
      <c r="AV72" s="29">
        <v>12114</v>
      </c>
      <c r="AW72" s="29">
        <v>13560</v>
      </c>
      <c r="AX72" s="29">
        <v>13566</v>
      </c>
      <c r="AY72" s="29">
        <v>13608</v>
      </c>
      <c r="AZ72" s="29">
        <v>13548</v>
      </c>
      <c r="BA72" s="29">
        <v>13662</v>
      </c>
      <c r="BB72" s="30">
        <v>24000</v>
      </c>
      <c r="BC72" s="30">
        <v>32044</v>
      </c>
      <c r="BD72" s="30">
        <v>32044</v>
      </c>
      <c r="BE72" s="30">
        <v>32044</v>
      </c>
      <c r="BF72" s="30">
        <v>32044</v>
      </c>
      <c r="BG72" s="30">
        <v>32044</v>
      </c>
    </row>
    <row r="73" spans="1:59" ht="15.75" thickBot="1" x14ac:dyDescent="0.3">
      <c r="A73" s="19" t="s">
        <v>348</v>
      </c>
      <c r="B73" s="19" t="s">
        <v>349</v>
      </c>
      <c r="C73" s="20">
        <v>1</v>
      </c>
      <c r="D73" s="20">
        <v>1</v>
      </c>
      <c r="E73" s="20">
        <v>1</v>
      </c>
      <c r="F73" s="20">
        <v>1</v>
      </c>
      <c r="G73" s="20">
        <v>1</v>
      </c>
      <c r="H73" s="20">
        <v>1</v>
      </c>
      <c r="I73" s="21">
        <v>2</v>
      </c>
      <c r="J73" s="22">
        <v>0.69</v>
      </c>
      <c r="K73" s="22">
        <v>0.56999999999999995</v>
      </c>
      <c r="L73" s="22">
        <v>0.54</v>
      </c>
      <c r="M73" s="22">
        <v>0.51</v>
      </c>
      <c r="N73" s="22">
        <v>0.5</v>
      </c>
      <c r="O73" s="22">
        <v>0.47</v>
      </c>
      <c r="P73" s="23">
        <v>85</v>
      </c>
      <c r="Q73" s="23">
        <v>0</v>
      </c>
      <c r="R73" s="24">
        <v>85</v>
      </c>
      <c r="S73" s="24">
        <v>85</v>
      </c>
      <c r="T73" s="24">
        <v>85</v>
      </c>
      <c r="U73" s="24">
        <v>85</v>
      </c>
      <c r="V73" s="24">
        <v>85</v>
      </c>
      <c r="W73" s="24">
        <v>85</v>
      </c>
      <c r="X73" s="25">
        <v>2.37</v>
      </c>
      <c r="Y73" s="25">
        <v>1.99</v>
      </c>
      <c r="Z73" s="25">
        <v>1.96</v>
      </c>
      <c r="AA73" s="25">
        <v>1.92</v>
      </c>
      <c r="AB73" s="25">
        <v>1.9</v>
      </c>
      <c r="AC73" s="25">
        <v>1.85</v>
      </c>
      <c r="AD73" s="26">
        <v>2.0099999999999998</v>
      </c>
      <c r="AE73" s="26">
        <v>1.69</v>
      </c>
      <c r="AF73" s="26">
        <v>1.66</v>
      </c>
      <c r="AG73" s="26">
        <v>1.63</v>
      </c>
      <c r="AH73" s="26">
        <v>1.61</v>
      </c>
      <c r="AI73" s="26">
        <v>1.57</v>
      </c>
      <c r="AJ73" s="27">
        <v>244</v>
      </c>
      <c r="AK73" s="27">
        <v>228.94</v>
      </c>
      <c r="AL73" s="27">
        <v>225.45</v>
      </c>
      <c r="AM73" s="27">
        <v>221.96</v>
      </c>
      <c r="AN73" s="27">
        <v>218.48</v>
      </c>
      <c r="AO73" s="27">
        <v>214.99</v>
      </c>
      <c r="AP73" s="28">
        <v>10296.9</v>
      </c>
      <c r="AQ73" s="28">
        <v>11526</v>
      </c>
      <c r="AR73" s="28">
        <v>11531.1</v>
      </c>
      <c r="AS73" s="28">
        <v>11566.8</v>
      </c>
      <c r="AT73" s="28">
        <v>11515.8</v>
      </c>
      <c r="AU73" s="28">
        <v>11612.7</v>
      </c>
      <c r="AV73" s="29">
        <v>12114</v>
      </c>
      <c r="AW73" s="29">
        <v>13560</v>
      </c>
      <c r="AX73" s="29">
        <v>13566</v>
      </c>
      <c r="AY73" s="29">
        <v>13608</v>
      </c>
      <c r="AZ73" s="29">
        <v>13548</v>
      </c>
      <c r="BA73" s="29">
        <v>13662</v>
      </c>
      <c r="BB73" s="30">
        <v>151283</v>
      </c>
      <c r="BC73" s="30">
        <v>144102</v>
      </c>
      <c r="BD73" s="30">
        <v>144102</v>
      </c>
      <c r="BE73" s="30">
        <v>144102</v>
      </c>
      <c r="BF73" s="30">
        <v>144102</v>
      </c>
      <c r="BG73" s="30">
        <v>144102</v>
      </c>
    </row>
    <row r="74" spans="1:59" ht="15.75" thickBot="1" x14ac:dyDescent="0.3">
      <c r="A74" s="19" t="s">
        <v>497</v>
      </c>
      <c r="B74" s="19" t="s">
        <v>404</v>
      </c>
      <c r="C74" s="20">
        <v>1</v>
      </c>
      <c r="D74" s="20">
        <v>1</v>
      </c>
      <c r="E74" s="20">
        <v>1</v>
      </c>
      <c r="F74" s="20">
        <v>1</v>
      </c>
      <c r="G74" s="20">
        <v>1</v>
      </c>
      <c r="H74" s="20">
        <v>1</v>
      </c>
      <c r="I74" s="21">
        <v>2</v>
      </c>
      <c r="J74" s="22">
        <v>0.69</v>
      </c>
      <c r="K74" s="22">
        <v>0.56999999999999995</v>
      </c>
      <c r="L74" s="22">
        <v>0.54</v>
      </c>
      <c r="M74" s="22">
        <v>0.51</v>
      </c>
      <c r="N74" s="22">
        <v>0.5</v>
      </c>
      <c r="O74" s="22">
        <v>0.47</v>
      </c>
      <c r="P74" s="23">
        <v>85</v>
      </c>
      <c r="Q74" s="23">
        <v>0</v>
      </c>
      <c r="R74" s="24">
        <v>85</v>
      </c>
      <c r="S74" s="24">
        <v>85</v>
      </c>
      <c r="T74" s="24">
        <v>85</v>
      </c>
      <c r="U74" s="24">
        <v>85</v>
      </c>
      <c r="V74" s="24">
        <v>85</v>
      </c>
      <c r="W74" s="24">
        <v>85</v>
      </c>
      <c r="X74" s="25">
        <v>0.17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6">
        <v>0.15</v>
      </c>
      <c r="AE74" s="26">
        <v>0</v>
      </c>
      <c r="AF74" s="26">
        <v>0</v>
      </c>
      <c r="AG74" s="26">
        <v>0</v>
      </c>
      <c r="AH74" s="26">
        <v>0</v>
      </c>
      <c r="AI74" s="26">
        <v>0</v>
      </c>
      <c r="AJ74" s="27">
        <v>17.7</v>
      </c>
      <c r="AK74" s="27">
        <v>0</v>
      </c>
      <c r="AL74" s="27">
        <v>0</v>
      </c>
      <c r="AM74" s="27">
        <v>0</v>
      </c>
      <c r="AN74" s="27">
        <v>0</v>
      </c>
      <c r="AO74" s="27">
        <v>0</v>
      </c>
      <c r="AP74" s="28">
        <v>10296.9</v>
      </c>
      <c r="AQ74" s="28">
        <v>11526</v>
      </c>
      <c r="AR74" s="28">
        <v>11531.1</v>
      </c>
      <c r="AS74" s="28">
        <v>11566.8</v>
      </c>
      <c r="AT74" s="28">
        <v>11515.8</v>
      </c>
      <c r="AU74" s="28">
        <v>11612.7</v>
      </c>
      <c r="AV74" s="29">
        <v>12114</v>
      </c>
      <c r="AW74" s="29">
        <v>13560</v>
      </c>
      <c r="AX74" s="29">
        <v>13566</v>
      </c>
      <c r="AY74" s="29">
        <v>13608</v>
      </c>
      <c r="AZ74" s="29">
        <v>13548</v>
      </c>
      <c r="BA74" s="29">
        <v>13662</v>
      </c>
      <c r="BB74" s="30">
        <v>104417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</row>
    <row r="75" spans="1:59" ht="15.75" thickBot="1" x14ac:dyDescent="0.3">
      <c r="A75" s="19" t="s">
        <v>498</v>
      </c>
      <c r="B75" s="19" t="s">
        <v>405</v>
      </c>
      <c r="C75" s="20">
        <v>1</v>
      </c>
      <c r="D75" s="20">
        <v>1</v>
      </c>
      <c r="E75" s="20">
        <v>1</v>
      </c>
      <c r="F75" s="20">
        <v>1</v>
      </c>
      <c r="G75" s="20">
        <v>1</v>
      </c>
      <c r="H75" s="20">
        <v>1</v>
      </c>
      <c r="I75" s="21">
        <v>2</v>
      </c>
      <c r="J75" s="22">
        <v>0.69</v>
      </c>
      <c r="K75" s="22">
        <v>0.56999999999999995</v>
      </c>
      <c r="L75" s="22">
        <v>0.54</v>
      </c>
      <c r="M75" s="22">
        <v>0.51</v>
      </c>
      <c r="N75" s="22">
        <v>0.5</v>
      </c>
      <c r="O75" s="22">
        <v>0.47</v>
      </c>
      <c r="P75" s="23">
        <v>85</v>
      </c>
      <c r="Q75" s="23">
        <v>0</v>
      </c>
      <c r="R75" s="24">
        <v>85</v>
      </c>
      <c r="S75" s="24">
        <v>85</v>
      </c>
      <c r="T75" s="24">
        <v>85</v>
      </c>
      <c r="U75" s="24">
        <v>85</v>
      </c>
      <c r="V75" s="24">
        <v>85</v>
      </c>
      <c r="W75" s="24">
        <v>85</v>
      </c>
      <c r="X75" s="25">
        <v>0.08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6">
        <v>7.0000000000000007E-2</v>
      </c>
      <c r="AE75" s="26">
        <v>0</v>
      </c>
      <c r="AF75" s="26">
        <v>0</v>
      </c>
      <c r="AG75" s="26">
        <v>0</v>
      </c>
      <c r="AH75" s="26">
        <v>0</v>
      </c>
      <c r="AI75" s="26">
        <v>0</v>
      </c>
      <c r="AJ75" s="27">
        <v>8.16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8">
        <v>10296.9</v>
      </c>
      <c r="AQ75" s="28">
        <v>11526</v>
      </c>
      <c r="AR75" s="28">
        <v>11531.1</v>
      </c>
      <c r="AS75" s="28">
        <v>11566.8</v>
      </c>
      <c r="AT75" s="28">
        <v>11515.8</v>
      </c>
      <c r="AU75" s="28">
        <v>11612.7</v>
      </c>
      <c r="AV75" s="29">
        <v>12114</v>
      </c>
      <c r="AW75" s="29">
        <v>13560</v>
      </c>
      <c r="AX75" s="29">
        <v>13566</v>
      </c>
      <c r="AY75" s="29">
        <v>13608</v>
      </c>
      <c r="AZ75" s="29">
        <v>13548</v>
      </c>
      <c r="BA75" s="29">
        <v>13662</v>
      </c>
      <c r="BB75" s="30">
        <v>104417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</row>
    <row r="76" spans="1:59" ht="15.75" thickBot="1" x14ac:dyDescent="0.3">
      <c r="A76" s="19" t="s">
        <v>302</v>
      </c>
      <c r="B76" s="19" t="s">
        <v>279</v>
      </c>
      <c r="C76" s="20">
        <v>1</v>
      </c>
      <c r="D76" s="20">
        <v>1</v>
      </c>
      <c r="E76" s="20">
        <v>1</v>
      </c>
      <c r="F76" s="20">
        <v>1</v>
      </c>
      <c r="G76" s="20">
        <v>1</v>
      </c>
      <c r="H76" s="20">
        <v>1</v>
      </c>
      <c r="I76" s="21">
        <v>2</v>
      </c>
      <c r="J76" s="22">
        <v>0.69</v>
      </c>
      <c r="K76" s="22">
        <v>0.56999999999999995</v>
      </c>
      <c r="L76" s="22">
        <v>0.54</v>
      </c>
      <c r="M76" s="22">
        <v>0.51</v>
      </c>
      <c r="N76" s="22">
        <v>0.5</v>
      </c>
      <c r="O76" s="22">
        <v>0.47</v>
      </c>
      <c r="P76" s="23">
        <v>85</v>
      </c>
      <c r="Q76" s="23">
        <v>0</v>
      </c>
      <c r="R76" s="24">
        <v>85</v>
      </c>
      <c r="S76" s="24">
        <v>85</v>
      </c>
      <c r="T76" s="24">
        <v>85</v>
      </c>
      <c r="U76" s="24">
        <v>85</v>
      </c>
      <c r="V76" s="24">
        <v>85</v>
      </c>
      <c r="W76" s="24">
        <v>85</v>
      </c>
      <c r="X76" s="25">
        <v>0.81</v>
      </c>
      <c r="Y76" s="25">
        <v>1.36</v>
      </c>
      <c r="Z76" s="25">
        <v>1.34</v>
      </c>
      <c r="AA76" s="25">
        <v>1.32</v>
      </c>
      <c r="AB76" s="25">
        <v>1.3</v>
      </c>
      <c r="AC76" s="25">
        <v>1.27</v>
      </c>
      <c r="AD76" s="26">
        <v>0.69</v>
      </c>
      <c r="AE76" s="26">
        <v>1.1599999999999999</v>
      </c>
      <c r="AF76" s="26">
        <v>1.1399999999999999</v>
      </c>
      <c r="AG76" s="26">
        <v>1.1200000000000001</v>
      </c>
      <c r="AH76" s="26">
        <v>1.1100000000000001</v>
      </c>
      <c r="AI76" s="26">
        <v>1.08</v>
      </c>
      <c r="AJ76" s="27">
        <v>83.75</v>
      </c>
      <c r="AK76" s="27">
        <v>157.04</v>
      </c>
      <c r="AL76" s="27">
        <v>154.63999999999999</v>
      </c>
      <c r="AM76" s="27">
        <v>152.25</v>
      </c>
      <c r="AN76" s="27">
        <v>149.86000000000001</v>
      </c>
      <c r="AO76" s="27">
        <v>147.47</v>
      </c>
      <c r="AP76" s="28">
        <v>10296.9</v>
      </c>
      <c r="AQ76" s="28">
        <v>11526</v>
      </c>
      <c r="AR76" s="28">
        <v>11531.1</v>
      </c>
      <c r="AS76" s="28">
        <v>11566.8</v>
      </c>
      <c r="AT76" s="28">
        <v>11515.8</v>
      </c>
      <c r="AU76" s="28">
        <v>11612.7</v>
      </c>
      <c r="AV76" s="29">
        <v>12114</v>
      </c>
      <c r="AW76" s="29">
        <v>13560</v>
      </c>
      <c r="AX76" s="29">
        <v>13566</v>
      </c>
      <c r="AY76" s="29">
        <v>13608</v>
      </c>
      <c r="AZ76" s="29">
        <v>13548</v>
      </c>
      <c r="BA76" s="29">
        <v>13662</v>
      </c>
      <c r="BB76" s="30">
        <v>72698</v>
      </c>
      <c r="BC76" s="30">
        <v>138383</v>
      </c>
      <c r="BD76" s="30">
        <v>138383</v>
      </c>
      <c r="BE76" s="30">
        <v>138383</v>
      </c>
      <c r="BF76" s="30">
        <v>138383</v>
      </c>
      <c r="BG76" s="30">
        <v>138383</v>
      </c>
    </row>
    <row r="77" spans="1:59" ht="15.75" thickBot="1" x14ac:dyDescent="0.3">
      <c r="A77" s="19" t="s">
        <v>499</v>
      </c>
      <c r="B77" s="19" t="s">
        <v>500</v>
      </c>
      <c r="C77" s="20">
        <v>1</v>
      </c>
      <c r="D77" s="20">
        <v>1</v>
      </c>
      <c r="E77" s="20">
        <v>1</v>
      </c>
      <c r="F77" s="20">
        <v>1</v>
      </c>
      <c r="G77" s="20">
        <v>1</v>
      </c>
      <c r="H77" s="20">
        <v>1</v>
      </c>
      <c r="I77" s="21">
        <v>2</v>
      </c>
      <c r="J77" s="22">
        <v>0.69</v>
      </c>
      <c r="K77" s="22">
        <v>0.56999999999999995</v>
      </c>
      <c r="L77" s="22">
        <v>0.54</v>
      </c>
      <c r="M77" s="22">
        <v>0.51</v>
      </c>
      <c r="N77" s="22">
        <v>0.5</v>
      </c>
      <c r="O77" s="22">
        <v>0.47</v>
      </c>
      <c r="P77" s="23">
        <v>85</v>
      </c>
      <c r="Q77" s="23">
        <v>0</v>
      </c>
      <c r="R77" s="24">
        <v>85</v>
      </c>
      <c r="S77" s="24">
        <v>85</v>
      </c>
      <c r="T77" s="24">
        <v>85</v>
      </c>
      <c r="U77" s="24">
        <v>85</v>
      </c>
      <c r="V77" s="24">
        <v>85</v>
      </c>
      <c r="W77" s="24">
        <v>85</v>
      </c>
      <c r="X77" s="25">
        <v>0.18</v>
      </c>
      <c r="Y77" s="25">
        <v>0.1</v>
      </c>
      <c r="Z77" s="25">
        <v>0.1</v>
      </c>
      <c r="AA77" s="25">
        <v>0.09</v>
      </c>
      <c r="AB77" s="25">
        <v>0.09</v>
      </c>
      <c r="AC77" s="25">
        <v>0.09</v>
      </c>
      <c r="AD77" s="26">
        <v>0.16</v>
      </c>
      <c r="AE77" s="26">
        <v>0.08</v>
      </c>
      <c r="AF77" s="26">
        <v>0.08</v>
      </c>
      <c r="AG77" s="26">
        <v>0.08</v>
      </c>
      <c r="AH77" s="26">
        <v>0.08</v>
      </c>
      <c r="AI77" s="26">
        <v>0.08</v>
      </c>
      <c r="AJ77" s="27">
        <v>18.98</v>
      </c>
      <c r="AK77" s="27">
        <v>11.17</v>
      </c>
      <c r="AL77" s="27">
        <v>11</v>
      </c>
      <c r="AM77" s="27">
        <v>10.83</v>
      </c>
      <c r="AN77" s="27">
        <v>10.66</v>
      </c>
      <c r="AO77" s="27">
        <v>10.49</v>
      </c>
      <c r="AP77" s="28">
        <v>10296.9</v>
      </c>
      <c r="AQ77" s="28">
        <v>11526</v>
      </c>
      <c r="AR77" s="28">
        <v>11531.1</v>
      </c>
      <c r="AS77" s="28">
        <v>11566.8</v>
      </c>
      <c r="AT77" s="28">
        <v>11515.8</v>
      </c>
      <c r="AU77" s="28">
        <v>11612.7</v>
      </c>
      <c r="AV77" s="29">
        <v>12114</v>
      </c>
      <c r="AW77" s="29">
        <v>13560</v>
      </c>
      <c r="AX77" s="29">
        <v>13566</v>
      </c>
      <c r="AY77" s="29">
        <v>13608</v>
      </c>
      <c r="AZ77" s="29">
        <v>13548</v>
      </c>
      <c r="BA77" s="29">
        <v>13662</v>
      </c>
      <c r="BB77" s="30">
        <v>49505</v>
      </c>
      <c r="BC77" s="30">
        <v>29585</v>
      </c>
      <c r="BD77" s="30">
        <v>29585</v>
      </c>
      <c r="BE77" s="30">
        <v>29585</v>
      </c>
      <c r="BF77" s="30">
        <v>29585</v>
      </c>
      <c r="BG77" s="30">
        <v>29585</v>
      </c>
    </row>
    <row r="78" spans="1:59" ht="15.75" thickBot="1" x14ac:dyDescent="0.3">
      <c r="A78" s="19" t="s">
        <v>501</v>
      </c>
      <c r="B78" s="19" t="s">
        <v>502</v>
      </c>
      <c r="C78" s="20">
        <v>1</v>
      </c>
      <c r="D78" s="20">
        <v>1</v>
      </c>
      <c r="E78" s="20">
        <v>1</v>
      </c>
      <c r="F78" s="20">
        <v>1</v>
      </c>
      <c r="G78" s="20">
        <v>1</v>
      </c>
      <c r="H78" s="20">
        <v>1</v>
      </c>
      <c r="I78" s="21">
        <v>2</v>
      </c>
      <c r="J78" s="22">
        <v>0.69</v>
      </c>
      <c r="K78" s="22">
        <v>0.56999999999999995</v>
      </c>
      <c r="L78" s="22">
        <v>0.54</v>
      </c>
      <c r="M78" s="22">
        <v>0.51</v>
      </c>
      <c r="N78" s="22">
        <v>0.5</v>
      </c>
      <c r="O78" s="22">
        <v>0.47</v>
      </c>
      <c r="P78" s="23">
        <v>85</v>
      </c>
      <c r="Q78" s="23">
        <v>0</v>
      </c>
      <c r="R78" s="24">
        <v>85</v>
      </c>
      <c r="S78" s="24">
        <v>85</v>
      </c>
      <c r="T78" s="24">
        <v>85</v>
      </c>
      <c r="U78" s="24">
        <v>85</v>
      </c>
      <c r="V78" s="24">
        <v>85</v>
      </c>
      <c r="W78" s="24">
        <v>85</v>
      </c>
      <c r="X78" s="25">
        <v>1.1599999999999999</v>
      </c>
      <c r="Y78" s="25">
        <v>0.66</v>
      </c>
      <c r="Z78" s="25">
        <v>0.65</v>
      </c>
      <c r="AA78" s="25">
        <v>0.64</v>
      </c>
      <c r="AB78" s="25">
        <v>0.63</v>
      </c>
      <c r="AC78" s="25">
        <v>0.61</v>
      </c>
      <c r="AD78" s="26">
        <v>0.98</v>
      </c>
      <c r="AE78" s="26">
        <v>0.56000000000000005</v>
      </c>
      <c r="AF78" s="26">
        <v>0.55000000000000004</v>
      </c>
      <c r="AG78" s="26">
        <v>0.54</v>
      </c>
      <c r="AH78" s="26">
        <v>0.53</v>
      </c>
      <c r="AI78" s="26">
        <v>0.52</v>
      </c>
      <c r="AJ78" s="27">
        <v>119.01</v>
      </c>
      <c r="AK78" s="27">
        <v>75.84</v>
      </c>
      <c r="AL78" s="27">
        <v>74.680000000000007</v>
      </c>
      <c r="AM78" s="27">
        <v>73.53</v>
      </c>
      <c r="AN78" s="27">
        <v>72.37</v>
      </c>
      <c r="AO78" s="27">
        <v>71.22</v>
      </c>
      <c r="AP78" s="28">
        <v>10296.9</v>
      </c>
      <c r="AQ78" s="28">
        <v>11526</v>
      </c>
      <c r="AR78" s="28">
        <v>11531.1</v>
      </c>
      <c r="AS78" s="28">
        <v>11566.8</v>
      </c>
      <c r="AT78" s="28">
        <v>11515.8</v>
      </c>
      <c r="AU78" s="28">
        <v>11612.7</v>
      </c>
      <c r="AV78" s="29">
        <v>12114</v>
      </c>
      <c r="AW78" s="29">
        <v>13560</v>
      </c>
      <c r="AX78" s="29">
        <v>13566</v>
      </c>
      <c r="AY78" s="29">
        <v>13608</v>
      </c>
      <c r="AZ78" s="29">
        <v>13548</v>
      </c>
      <c r="BA78" s="29">
        <v>13662</v>
      </c>
      <c r="BB78" s="30">
        <v>48199</v>
      </c>
      <c r="BC78" s="30">
        <v>31182</v>
      </c>
      <c r="BD78" s="30">
        <v>31182</v>
      </c>
      <c r="BE78" s="30">
        <v>31182</v>
      </c>
      <c r="BF78" s="30">
        <v>31182</v>
      </c>
      <c r="BG78" s="30">
        <v>31182</v>
      </c>
    </row>
    <row r="79" spans="1:59" ht="15.75" thickBot="1" x14ac:dyDescent="0.3">
      <c r="A79" s="19" t="s">
        <v>350</v>
      </c>
      <c r="B79" s="19" t="s">
        <v>351</v>
      </c>
      <c r="C79" s="20">
        <v>1</v>
      </c>
      <c r="D79" s="20">
        <v>1</v>
      </c>
      <c r="E79" s="20">
        <v>1</v>
      </c>
      <c r="F79" s="20">
        <v>1</v>
      </c>
      <c r="G79" s="20">
        <v>1</v>
      </c>
      <c r="H79" s="20">
        <v>1</v>
      </c>
      <c r="I79" s="21">
        <v>2</v>
      </c>
      <c r="J79" s="22">
        <v>0.69</v>
      </c>
      <c r="K79" s="22">
        <v>0.56999999999999995</v>
      </c>
      <c r="L79" s="22">
        <v>0.54</v>
      </c>
      <c r="M79" s="22">
        <v>0.51</v>
      </c>
      <c r="N79" s="22">
        <v>0.5</v>
      </c>
      <c r="O79" s="22">
        <v>0.47</v>
      </c>
      <c r="P79" s="23">
        <v>85</v>
      </c>
      <c r="Q79" s="23">
        <v>0</v>
      </c>
      <c r="R79" s="24">
        <v>85</v>
      </c>
      <c r="S79" s="24">
        <v>85</v>
      </c>
      <c r="T79" s="24">
        <v>85</v>
      </c>
      <c r="U79" s="24">
        <v>85</v>
      </c>
      <c r="V79" s="24">
        <v>85</v>
      </c>
      <c r="W79" s="24">
        <v>85</v>
      </c>
      <c r="X79" s="25">
        <v>0.28999999999999998</v>
      </c>
      <c r="Y79" s="25">
        <v>0.08</v>
      </c>
      <c r="Z79" s="25">
        <v>0.08</v>
      </c>
      <c r="AA79" s="25">
        <v>0.08</v>
      </c>
      <c r="AB79" s="25">
        <v>0.08</v>
      </c>
      <c r="AC79" s="25">
        <v>0.08</v>
      </c>
      <c r="AD79" s="26">
        <v>0.25</v>
      </c>
      <c r="AE79" s="26">
        <v>7.0000000000000007E-2</v>
      </c>
      <c r="AF79" s="26">
        <v>7.0000000000000007E-2</v>
      </c>
      <c r="AG79" s="26">
        <v>7.0000000000000007E-2</v>
      </c>
      <c r="AH79" s="26">
        <v>7.0000000000000007E-2</v>
      </c>
      <c r="AI79" s="26">
        <v>0.06</v>
      </c>
      <c r="AJ79" s="27">
        <v>30.07</v>
      </c>
      <c r="AK79" s="27">
        <v>9.4</v>
      </c>
      <c r="AL79" s="27">
        <v>9.26</v>
      </c>
      <c r="AM79" s="27">
        <v>9.11</v>
      </c>
      <c r="AN79" s="27">
        <v>8.9700000000000006</v>
      </c>
      <c r="AO79" s="27">
        <v>8.83</v>
      </c>
      <c r="AP79" s="28">
        <v>10296.9</v>
      </c>
      <c r="AQ79" s="28">
        <v>11526</v>
      </c>
      <c r="AR79" s="28">
        <v>11531.1</v>
      </c>
      <c r="AS79" s="28">
        <v>11566.8</v>
      </c>
      <c r="AT79" s="28">
        <v>11515.8</v>
      </c>
      <c r="AU79" s="28">
        <v>11612.7</v>
      </c>
      <c r="AV79" s="29">
        <v>12114</v>
      </c>
      <c r="AW79" s="29">
        <v>13560</v>
      </c>
      <c r="AX79" s="29">
        <v>13566</v>
      </c>
      <c r="AY79" s="29">
        <v>13608</v>
      </c>
      <c r="AZ79" s="29">
        <v>13548</v>
      </c>
      <c r="BA79" s="29">
        <v>13662</v>
      </c>
      <c r="BB79" s="30">
        <v>87287</v>
      </c>
      <c r="BC79" s="30">
        <v>27701</v>
      </c>
      <c r="BD79" s="30">
        <v>27701</v>
      </c>
      <c r="BE79" s="30">
        <v>27701</v>
      </c>
      <c r="BF79" s="30">
        <v>27701</v>
      </c>
      <c r="BG79" s="30">
        <v>27701</v>
      </c>
    </row>
    <row r="80" spans="1:59" ht="15.75" thickBot="1" x14ac:dyDescent="0.3">
      <c r="A80" s="19" t="s">
        <v>503</v>
      </c>
      <c r="B80" s="19" t="s">
        <v>504</v>
      </c>
      <c r="C80" s="20">
        <v>1</v>
      </c>
      <c r="D80" s="20">
        <v>1</v>
      </c>
      <c r="E80" s="20">
        <v>1</v>
      </c>
      <c r="F80" s="20">
        <v>1</v>
      </c>
      <c r="G80" s="20">
        <v>1</v>
      </c>
      <c r="H80" s="20">
        <v>1</v>
      </c>
      <c r="I80" s="21">
        <v>2</v>
      </c>
      <c r="J80" s="22">
        <v>0.69</v>
      </c>
      <c r="K80" s="22">
        <v>0.56999999999999995</v>
      </c>
      <c r="L80" s="22">
        <v>0.54</v>
      </c>
      <c r="M80" s="22">
        <v>0.51</v>
      </c>
      <c r="N80" s="22">
        <v>0.5</v>
      </c>
      <c r="O80" s="22">
        <v>0.47</v>
      </c>
      <c r="P80" s="23">
        <v>85</v>
      </c>
      <c r="Q80" s="23">
        <v>0</v>
      </c>
      <c r="R80" s="24">
        <v>85</v>
      </c>
      <c r="S80" s="24">
        <v>85</v>
      </c>
      <c r="T80" s="24">
        <v>85</v>
      </c>
      <c r="U80" s="24">
        <v>85</v>
      </c>
      <c r="V80" s="24">
        <v>85</v>
      </c>
      <c r="W80" s="24">
        <v>85</v>
      </c>
      <c r="X80" s="25">
        <v>1.64</v>
      </c>
      <c r="Y80" s="25">
        <v>1.23</v>
      </c>
      <c r="Z80" s="25">
        <v>1.21</v>
      </c>
      <c r="AA80" s="25">
        <v>1.18</v>
      </c>
      <c r="AB80" s="25">
        <v>1.17</v>
      </c>
      <c r="AC80" s="25">
        <v>1.1399999999999999</v>
      </c>
      <c r="AD80" s="26">
        <v>1.4</v>
      </c>
      <c r="AE80" s="26">
        <v>1.04</v>
      </c>
      <c r="AF80" s="26">
        <v>1.03</v>
      </c>
      <c r="AG80" s="26">
        <v>1.01</v>
      </c>
      <c r="AH80" s="26">
        <v>0.99</v>
      </c>
      <c r="AI80" s="26">
        <v>0.97</v>
      </c>
      <c r="AJ80" s="27">
        <v>169.11</v>
      </c>
      <c r="AK80" s="27">
        <v>141.24</v>
      </c>
      <c r="AL80" s="27">
        <v>139.08000000000001</v>
      </c>
      <c r="AM80" s="27">
        <v>136.93</v>
      </c>
      <c r="AN80" s="27">
        <v>134.78</v>
      </c>
      <c r="AO80" s="27">
        <v>132.63</v>
      </c>
      <c r="AP80" s="28">
        <v>10296.9</v>
      </c>
      <c r="AQ80" s="28">
        <v>11526</v>
      </c>
      <c r="AR80" s="28">
        <v>11531.1</v>
      </c>
      <c r="AS80" s="28">
        <v>11566.8</v>
      </c>
      <c r="AT80" s="28">
        <v>11515.8</v>
      </c>
      <c r="AU80" s="28">
        <v>11612.7</v>
      </c>
      <c r="AV80" s="29">
        <v>12114</v>
      </c>
      <c r="AW80" s="29">
        <v>13560</v>
      </c>
      <c r="AX80" s="29">
        <v>13566</v>
      </c>
      <c r="AY80" s="29">
        <v>13608</v>
      </c>
      <c r="AZ80" s="29">
        <v>13548</v>
      </c>
      <c r="BA80" s="29">
        <v>13662</v>
      </c>
      <c r="BB80" s="30">
        <v>438340</v>
      </c>
      <c r="BC80" s="30">
        <v>371660</v>
      </c>
      <c r="BD80" s="30">
        <v>371660</v>
      </c>
      <c r="BE80" s="30">
        <v>371660</v>
      </c>
      <c r="BF80" s="30">
        <v>371660</v>
      </c>
      <c r="BG80" s="30">
        <v>371660</v>
      </c>
    </row>
    <row r="81" spans="1:59" ht="15.75" thickBot="1" x14ac:dyDescent="0.3">
      <c r="A81" s="19" t="s">
        <v>505</v>
      </c>
      <c r="B81" s="19" t="s">
        <v>506</v>
      </c>
      <c r="C81" s="20">
        <v>1</v>
      </c>
      <c r="D81" s="20">
        <v>1</v>
      </c>
      <c r="E81" s="20">
        <v>1</v>
      </c>
      <c r="F81" s="20">
        <v>1</v>
      </c>
      <c r="G81" s="20">
        <v>1</v>
      </c>
      <c r="H81" s="20">
        <v>1</v>
      </c>
      <c r="I81" s="21">
        <v>2</v>
      </c>
      <c r="J81" s="22">
        <v>0.69</v>
      </c>
      <c r="K81" s="22">
        <v>0.56999999999999995</v>
      </c>
      <c r="L81" s="22">
        <v>0.54</v>
      </c>
      <c r="M81" s="22">
        <v>0.51</v>
      </c>
      <c r="N81" s="22">
        <v>0.5</v>
      </c>
      <c r="O81" s="22">
        <v>0.47</v>
      </c>
      <c r="P81" s="23">
        <v>85</v>
      </c>
      <c r="Q81" s="23">
        <v>0</v>
      </c>
      <c r="R81" s="24">
        <v>85</v>
      </c>
      <c r="S81" s="24">
        <v>85</v>
      </c>
      <c r="T81" s="24">
        <v>85</v>
      </c>
      <c r="U81" s="24">
        <v>85</v>
      </c>
      <c r="V81" s="24">
        <v>85</v>
      </c>
      <c r="W81" s="24">
        <v>85</v>
      </c>
      <c r="X81" s="25">
        <v>0.24</v>
      </c>
      <c r="Y81" s="25">
        <v>0.09</v>
      </c>
      <c r="Z81" s="25">
        <v>0.09</v>
      </c>
      <c r="AA81" s="25">
        <v>0.08</v>
      </c>
      <c r="AB81" s="25">
        <v>0.08</v>
      </c>
      <c r="AC81" s="25">
        <v>0.08</v>
      </c>
      <c r="AD81" s="26">
        <v>0.2</v>
      </c>
      <c r="AE81" s="26">
        <v>7.0000000000000007E-2</v>
      </c>
      <c r="AF81" s="26">
        <v>7.0000000000000007E-2</v>
      </c>
      <c r="AG81" s="26">
        <v>7.0000000000000007E-2</v>
      </c>
      <c r="AH81" s="26">
        <v>7.0000000000000007E-2</v>
      </c>
      <c r="AI81" s="26">
        <v>7.0000000000000007E-2</v>
      </c>
      <c r="AJ81" s="27">
        <v>24.51</v>
      </c>
      <c r="AK81" s="27">
        <v>10.130000000000001</v>
      </c>
      <c r="AL81" s="27">
        <v>9.98</v>
      </c>
      <c r="AM81" s="27">
        <v>9.82</v>
      </c>
      <c r="AN81" s="27">
        <v>9.67</v>
      </c>
      <c r="AO81" s="27">
        <v>9.52</v>
      </c>
      <c r="AP81" s="28">
        <v>10296.9</v>
      </c>
      <c r="AQ81" s="28">
        <v>11526</v>
      </c>
      <c r="AR81" s="28">
        <v>11531.1</v>
      </c>
      <c r="AS81" s="28">
        <v>11566.8</v>
      </c>
      <c r="AT81" s="28">
        <v>11515.8</v>
      </c>
      <c r="AU81" s="28">
        <v>11612.7</v>
      </c>
      <c r="AV81" s="29">
        <v>12114</v>
      </c>
      <c r="AW81" s="29">
        <v>13560</v>
      </c>
      <c r="AX81" s="29">
        <v>13566</v>
      </c>
      <c r="AY81" s="29">
        <v>13608</v>
      </c>
      <c r="AZ81" s="29">
        <v>13548</v>
      </c>
      <c r="BA81" s="29">
        <v>13662</v>
      </c>
      <c r="BB81" s="30">
        <v>63526</v>
      </c>
      <c r="BC81" s="30">
        <v>26666</v>
      </c>
      <c r="BD81" s="30">
        <v>26666</v>
      </c>
      <c r="BE81" s="30">
        <v>26666</v>
      </c>
      <c r="BF81" s="30">
        <v>26666</v>
      </c>
      <c r="BG81" s="30">
        <v>26666</v>
      </c>
    </row>
    <row r="82" spans="1:59" ht="15.75" thickBot="1" x14ac:dyDescent="0.3">
      <c r="A82" s="19" t="s">
        <v>507</v>
      </c>
      <c r="B82" s="19" t="s">
        <v>508</v>
      </c>
      <c r="C82" s="20">
        <v>1</v>
      </c>
      <c r="D82" s="20">
        <v>1</v>
      </c>
      <c r="E82" s="20">
        <v>1</v>
      </c>
      <c r="F82" s="20">
        <v>1</v>
      </c>
      <c r="G82" s="20">
        <v>1</v>
      </c>
      <c r="H82" s="20">
        <v>1</v>
      </c>
      <c r="I82" s="21">
        <v>2</v>
      </c>
      <c r="J82" s="22">
        <v>0.69</v>
      </c>
      <c r="K82" s="22">
        <v>0.56999999999999995</v>
      </c>
      <c r="L82" s="22">
        <v>0.54</v>
      </c>
      <c r="M82" s="22">
        <v>0.51</v>
      </c>
      <c r="N82" s="22">
        <v>0.5</v>
      </c>
      <c r="O82" s="22">
        <v>0.47</v>
      </c>
      <c r="P82" s="23">
        <v>85</v>
      </c>
      <c r="Q82" s="23">
        <v>0</v>
      </c>
      <c r="R82" s="24">
        <v>85</v>
      </c>
      <c r="S82" s="24">
        <v>85</v>
      </c>
      <c r="T82" s="24">
        <v>85</v>
      </c>
      <c r="U82" s="24">
        <v>85</v>
      </c>
      <c r="V82" s="24">
        <v>85</v>
      </c>
      <c r="W82" s="24">
        <v>85</v>
      </c>
      <c r="X82" s="25">
        <v>0.23</v>
      </c>
      <c r="Y82" s="25">
        <v>7.0000000000000007E-2</v>
      </c>
      <c r="Z82" s="25">
        <v>7.0000000000000007E-2</v>
      </c>
      <c r="AA82" s="25">
        <v>7.0000000000000007E-2</v>
      </c>
      <c r="AB82" s="25">
        <v>7.0000000000000007E-2</v>
      </c>
      <c r="AC82" s="25">
        <v>7.0000000000000007E-2</v>
      </c>
      <c r="AD82" s="26">
        <v>0.2</v>
      </c>
      <c r="AE82" s="26">
        <v>0.06</v>
      </c>
      <c r="AF82" s="26">
        <v>0.06</v>
      </c>
      <c r="AG82" s="26">
        <v>0.06</v>
      </c>
      <c r="AH82" s="26">
        <v>0.06</v>
      </c>
      <c r="AI82" s="26">
        <v>0.06</v>
      </c>
      <c r="AJ82" s="27">
        <v>24.13</v>
      </c>
      <c r="AK82" s="27">
        <v>8.0500000000000007</v>
      </c>
      <c r="AL82" s="27">
        <v>7.93</v>
      </c>
      <c r="AM82" s="27">
        <v>7.81</v>
      </c>
      <c r="AN82" s="27">
        <v>7.69</v>
      </c>
      <c r="AO82" s="27">
        <v>7.56</v>
      </c>
      <c r="AP82" s="28">
        <v>10296.9</v>
      </c>
      <c r="AQ82" s="28">
        <v>11526</v>
      </c>
      <c r="AR82" s="28">
        <v>11531.1</v>
      </c>
      <c r="AS82" s="28">
        <v>11566.8</v>
      </c>
      <c r="AT82" s="28">
        <v>11515.8</v>
      </c>
      <c r="AU82" s="28">
        <v>11612.7</v>
      </c>
      <c r="AV82" s="29">
        <v>12114</v>
      </c>
      <c r="AW82" s="29">
        <v>13560</v>
      </c>
      <c r="AX82" s="29">
        <v>13566</v>
      </c>
      <c r="AY82" s="29">
        <v>13608</v>
      </c>
      <c r="AZ82" s="29">
        <v>13548</v>
      </c>
      <c r="BA82" s="29">
        <v>13662</v>
      </c>
      <c r="BB82" s="30">
        <v>62555</v>
      </c>
      <c r="BC82" s="30">
        <v>21196</v>
      </c>
      <c r="BD82" s="30">
        <v>21196</v>
      </c>
      <c r="BE82" s="30">
        <v>21196</v>
      </c>
      <c r="BF82" s="30">
        <v>21196</v>
      </c>
      <c r="BG82" s="30">
        <v>21196</v>
      </c>
    </row>
    <row r="83" spans="1:59" ht="15.75" thickBot="1" x14ac:dyDescent="0.3">
      <c r="A83" s="19" t="s">
        <v>352</v>
      </c>
      <c r="B83" s="19" t="s">
        <v>353</v>
      </c>
      <c r="C83" s="20">
        <v>1</v>
      </c>
      <c r="D83" s="20">
        <v>1</v>
      </c>
      <c r="E83" s="20">
        <v>1</v>
      </c>
      <c r="F83" s="20">
        <v>1</v>
      </c>
      <c r="G83" s="20">
        <v>1</v>
      </c>
      <c r="H83" s="20">
        <v>1</v>
      </c>
      <c r="I83" s="21">
        <v>2</v>
      </c>
      <c r="J83" s="22">
        <v>0.69</v>
      </c>
      <c r="K83" s="22">
        <v>0.56999999999999995</v>
      </c>
      <c r="L83" s="22">
        <v>0.54</v>
      </c>
      <c r="M83" s="22">
        <v>0.51</v>
      </c>
      <c r="N83" s="22">
        <v>0.5</v>
      </c>
      <c r="O83" s="22">
        <v>0.47</v>
      </c>
      <c r="P83" s="23">
        <v>85</v>
      </c>
      <c r="Q83" s="23">
        <v>0</v>
      </c>
      <c r="R83" s="24">
        <v>85</v>
      </c>
      <c r="S83" s="24">
        <v>85</v>
      </c>
      <c r="T83" s="24">
        <v>85</v>
      </c>
      <c r="U83" s="24">
        <v>85</v>
      </c>
      <c r="V83" s="24">
        <v>85</v>
      </c>
      <c r="W83" s="24">
        <v>85</v>
      </c>
      <c r="X83" s="25">
        <v>0.04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6">
        <v>0.04</v>
      </c>
      <c r="AE83" s="26">
        <v>0</v>
      </c>
      <c r="AF83" s="26">
        <v>0</v>
      </c>
      <c r="AG83" s="26">
        <v>0</v>
      </c>
      <c r="AH83" s="26">
        <v>0</v>
      </c>
      <c r="AI83" s="26">
        <v>0</v>
      </c>
      <c r="AJ83" s="27">
        <v>4.33</v>
      </c>
      <c r="AK83" s="27">
        <v>0</v>
      </c>
      <c r="AL83" s="27">
        <v>0</v>
      </c>
      <c r="AM83" s="27">
        <v>0</v>
      </c>
      <c r="AN83" s="27">
        <v>0</v>
      </c>
      <c r="AO83" s="27">
        <v>0</v>
      </c>
      <c r="AP83" s="28">
        <v>10296.9</v>
      </c>
      <c r="AQ83" s="28">
        <v>11526</v>
      </c>
      <c r="AR83" s="28">
        <v>11531.1</v>
      </c>
      <c r="AS83" s="28">
        <v>11566.8</v>
      </c>
      <c r="AT83" s="28">
        <v>11515.8</v>
      </c>
      <c r="AU83" s="28">
        <v>11612.7</v>
      </c>
      <c r="AV83" s="29">
        <v>12114</v>
      </c>
      <c r="AW83" s="29">
        <v>13560</v>
      </c>
      <c r="AX83" s="29">
        <v>13566</v>
      </c>
      <c r="AY83" s="29">
        <v>13608</v>
      </c>
      <c r="AZ83" s="29">
        <v>13548</v>
      </c>
      <c r="BA83" s="29">
        <v>13662</v>
      </c>
      <c r="BB83" s="30">
        <v>11216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</row>
    <row r="84" spans="1:59" ht="15.75" thickBot="1" x14ac:dyDescent="0.3">
      <c r="A84" s="19" t="s">
        <v>509</v>
      </c>
      <c r="B84" s="19" t="s">
        <v>406</v>
      </c>
      <c r="C84" s="20">
        <v>1</v>
      </c>
      <c r="D84" s="20">
        <v>1</v>
      </c>
      <c r="E84" s="20">
        <v>1</v>
      </c>
      <c r="F84" s="20">
        <v>1</v>
      </c>
      <c r="G84" s="20">
        <v>1</v>
      </c>
      <c r="H84" s="20">
        <v>1</v>
      </c>
      <c r="I84" s="21">
        <v>2</v>
      </c>
      <c r="J84" s="22">
        <v>0.69</v>
      </c>
      <c r="K84" s="22">
        <v>0.56999999999999995</v>
      </c>
      <c r="L84" s="22">
        <v>0.54</v>
      </c>
      <c r="M84" s="22">
        <v>0.51</v>
      </c>
      <c r="N84" s="22">
        <v>0.5</v>
      </c>
      <c r="O84" s="22">
        <v>0.47</v>
      </c>
      <c r="P84" s="23">
        <v>85</v>
      </c>
      <c r="Q84" s="23">
        <v>0</v>
      </c>
      <c r="R84" s="24">
        <v>85</v>
      </c>
      <c r="S84" s="24">
        <v>85</v>
      </c>
      <c r="T84" s="24">
        <v>85</v>
      </c>
      <c r="U84" s="24">
        <v>85</v>
      </c>
      <c r="V84" s="24">
        <v>85</v>
      </c>
      <c r="W84" s="24">
        <v>85</v>
      </c>
      <c r="X84" s="25">
        <v>0.01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6">
        <v>0.01</v>
      </c>
      <c r="AE84" s="26">
        <v>0</v>
      </c>
      <c r="AF84" s="26">
        <v>0</v>
      </c>
      <c r="AG84" s="26">
        <v>0</v>
      </c>
      <c r="AH84" s="26">
        <v>0</v>
      </c>
      <c r="AI84" s="26">
        <v>0</v>
      </c>
      <c r="AJ84" s="27">
        <v>1.1499999999999999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8">
        <v>10296.9</v>
      </c>
      <c r="AQ84" s="28">
        <v>11526</v>
      </c>
      <c r="AR84" s="28">
        <v>11531.1</v>
      </c>
      <c r="AS84" s="28">
        <v>11566.8</v>
      </c>
      <c r="AT84" s="28">
        <v>11515.8</v>
      </c>
      <c r="AU84" s="28">
        <v>11612.7</v>
      </c>
      <c r="AV84" s="29">
        <v>12114</v>
      </c>
      <c r="AW84" s="29">
        <v>13560</v>
      </c>
      <c r="AX84" s="29">
        <v>13566</v>
      </c>
      <c r="AY84" s="29">
        <v>13608</v>
      </c>
      <c r="AZ84" s="29">
        <v>13548</v>
      </c>
      <c r="BA84" s="29">
        <v>13662</v>
      </c>
      <c r="BB84" s="30">
        <v>15000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</row>
    <row r="85" spans="1:59" ht="15.75" thickBot="1" x14ac:dyDescent="0.3">
      <c r="A85" s="19" t="s">
        <v>510</v>
      </c>
      <c r="B85" s="19" t="s">
        <v>511</v>
      </c>
      <c r="C85" s="20">
        <v>1</v>
      </c>
      <c r="D85" s="20">
        <v>1</v>
      </c>
      <c r="E85" s="20">
        <v>1</v>
      </c>
      <c r="F85" s="20">
        <v>1</v>
      </c>
      <c r="G85" s="20">
        <v>1</v>
      </c>
      <c r="H85" s="20">
        <v>1</v>
      </c>
      <c r="I85" s="21">
        <v>2</v>
      </c>
      <c r="J85" s="22">
        <v>0.69</v>
      </c>
      <c r="K85" s="22">
        <v>0.56999999999999995</v>
      </c>
      <c r="L85" s="22">
        <v>0.54</v>
      </c>
      <c r="M85" s="22">
        <v>0.51</v>
      </c>
      <c r="N85" s="22">
        <v>0.5</v>
      </c>
      <c r="O85" s="22">
        <v>0.47</v>
      </c>
      <c r="P85" s="23">
        <v>85</v>
      </c>
      <c r="Q85" s="23">
        <v>0</v>
      </c>
      <c r="R85" s="24">
        <v>85</v>
      </c>
      <c r="S85" s="24">
        <v>85</v>
      </c>
      <c r="T85" s="24">
        <v>85</v>
      </c>
      <c r="U85" s="24">
        <v>85</v>
      </c>
      <c r="V85" s="24">
        <v>85</v>
      </c>
      <c r="W85" s="24">
        <v>85</v>
      </c>
      <c r="X85" s="25">
        <v>0.25</v>
      </c>
      <c r="Y85" s="25">
        <v>0.16</v>
      </c>
      <c r="Z85" s="25">
        <v>0.16</v>
      </c>
      <c r="AA85" s="25">
        <v>0.15</v>
      </c>
      <c r="AB85" s="25">
        <v>0.15</v>
      </c>
      <c r="AC85" s="25">
        <v>0.15</v>
      </c>
      <c r="AD85" s="26">
        <v>0.21</v>
      </c>
      <c r="AE85" s="26">
        <v>0.13</v>
      </c>
      <c r="AF85" s="26">
        <v>0.13</v>
      </c>
      <c r="AG85" s="26">
        <v>0.13</v>
      </c>
      <c r="AH85" s="26">
        <v>0.13</v>
      </c>
      <c r="AI85" s="26">
        <v>0.13</v>
      </c>
      <c r="AJ85" s="27">
        <v>25.61</v>
      </c>
      <c r="AK85" s="27">
        <v>18.2</v>
      </c>
      <c r="AL85" s="27">
        <v>17.920000000000002</v>
      </c>
      <c r="AM85" s="27">
        <v>17.64</v>
      </c>
      <c r="AN85" s="27">
        <v>17.37</v>
      </c>
      <c r="AO85" s="27">
        <v>17.09</v>
      </c>
      <c r="AP85" s="28">
        <v>10296.9</v>
      </c>
      <c r="AQ85" s="28">
        <v>11526</v>
      </c>
      <c r="AR85" s="28">
        <v>11531.1</v>
      </c>
      <c r="AS85" s="28">
        <v>11566.8</v>
      </c>
      <c r="AT85" s="28">
        <v>11515.8</v>
      </c>
      <c r="AU85" s="28">
        <v>11612.7</v>
      </c>
      <c r="AV85" s="29">
        <v>12114</v>
      </c>
      <c r="AW85" s="29">
        <v>13560</v>
      </c>
      <c r="AX85" s="29">
        <v>13566</v>
      </c>
      <c r="AY85" s="29">
        <v>13608</v>
      </c>
      <c r="AZ85" s="29">
        <v>13548</v>
      </c>
      <c r="BA85" s="29">
        <v>13662</v>
      </c>
      <c r="BB85" s="30">
        <v>106728</v>
      </c>
      <c r="BC85" s="30">
        <v>77000</v>
      </c>
      <c r="BD85" s="30">
        <v>77000</v>
      </c>
      <c r="BE85" s="30">
        <v>77000</v>
      </c>
      <c r="BF85" s="30">
        <v>77000</v>
      </c>
      <c r="BG85" s="30">
        <v>77000</v>
      </c>
    </row>
    <row r="86" spans="1:59" ht="15.75" thickBot="1" x14ac:dyDescent="0.3">
      <c r="A86" s="19" t="s">
        <v>356</v>
      </c>
      <c r="B86" s="19" t="s">
        <v>357</v>
      </c>
      <c r="C86" s="20">
        <v>1</v>
      </c>
      <c r="D86" s="20">
        <v>1</v>
      </c>
      <c r="E86" s="20">
        <v>1</v>
      </c>
      <c r="F86" s="20">
        <v>1</v>
      </c>
      <c r="G86" s="20">
        <v>1</v>
      </c>
      <c r="H86" s="20">
        <v>1</v>
      </c>
      <c r="I86" s="21">
        <v>2</v>
      </c>
      <c r="J86" s="22">
        <v>0.69</v>
      </c>
      <c r="K86" s="22">
        <v>0.56999999999999995</v>
      </c>
      <c r="L86" s="22">
        <v>0.54</v>
      </c>
      <c r="M86" s="22">
        <v>0.51</v>
      </c>
      <c r="N86" s="22">
        <v>0.5</v>
      </c>
      <c r="O86" s="22">
        <v>0.47</v>
      </c>
      <c r="P86" s="23">
        <v>85</v>
      </c>
      <c r="Q86" s="23">
        <v>0</v>
      </c>
      <c r="R86" s="24">
        <v>85</v>
      </c>
      <c r="S86" s="24">
        <v>85</v>
      </c>
      <c r="T86" s="24">
        <v>85</v>
      </c>
      <c r="U86" s="24">
        <v>85</v>
      </c>
      <c r="V86" s="24">
        <v>85</v>
      </c>
      <c r="W86" s="24">
        <v>85</v>
      </c>
      <c r="X86" s="25">
        <v>0</v>
      </c>
      <c r="Y86" s="25">
        <v>7.0000000000000007E-2</v>
      </c>
      <c r="Z86" s="25">
        <v>7.0000000000000007E-2</v>
      </c>
      <c r="AA86" s="25">
        <v>7.0000000000000007E-2</v>
      </c>
      <c r="AB86" s="25">
        <v>7.0000000000000007E-2</v>
      </c>
      <c r="AC86" s="25">
        <v>7.0000000000000007E-2</v>
      </c>
      <c r="AD86" s="26">
        <v>0</v>
      </c>
      <c r="AE86" s="26">
        <v>0.06</v>
      </c>
      <c r="AF86" s="26">
        <v>0.06</v>
      </c>
      <c r="AG86" s="26">
        <v>0.06</v>
      </c>
      <c r="AH86" s="26">
        <v>0.06</v>
      </c>
      <c r="AI86" s="26">
        <v>0.06</v>
      </c>
      <c r="AJ86" s="27">
        <v>0</v>
      </c>
      <c r="AK86" s="27">
        <v>8.39</v>
      </c>
      <c r="AL86" s="27">
        <v>8.26</v>
      </c>
      <c r="AM86" s="27">
        <v>8.1300000000000008</v>
      </c>
      <c r="AN86" s="27">
        <v>8</v>
      </c>
      <c r="AO86" s="27">
        <v>7.87</v>
      </c>
      <c r="AP86" s="28">
        <v>10296.9</v>
      </c>
      <c r="AQ86" s="28">
        <v>11526</v>
      </c>
      <c r="AR86" s="28">
        <v>11531.1</v>
      </c>
      <c r="AS86" s="28">
        <v>11566.8</v>
      </c>
      <c r="AT86" s="28">
        <v>11515.8</v>
      </c>
      <c r="AU86" s="28">
        <v>11612.7</v>
      </c>
      <c r="AV86" s="29">
        <v>12114</v>
      </c>
      <c r="AW86" s="29">
        <v>13560</v>
      </c>
      <c r="AX86" s="29">
        <v>13566</v>
      </c>
      <c r="AY86" s="29">
        <v>13608</v>
      </c>
      <c r="AZ86" s="29">
        <v>13548</v>
      </c>
      <c r="BA86" s="29">
        <v>13662</v>
      </c>
      <c r="BB86" s="30">
        <v>0</v>
      </c>
      <c r="BC86" s="30">
        <v>22067</v>
      </c>
      <c r="BD86" s="30">
        <v>22067</v>
      </c>
      <c r="BE86" s="30">
        <v>22067</v>
      </c>
      <c r="BF86" s="30">
        <v>22067</v>
      </c>
      <c r="BG86" s="30">
        <v>22067</v>
      </c>
    </row>
    <row r="87" spans="1:59" ht="15.75" thickBot="1" x14ac:dyDescent="0.3">
      <c r="A87" s="19" t="s">
        <v>512</v>
      </c>
      <c r="B87" s="19" t="s">
        <v>407</v>
      </c>
      <c r="C87" s="20">
        <v>1</v>
      </c>
      <c r="D87" s="20">
        <v>1</v>
      </c>
      <c r="E87" s="20">
        <v>1</v>
      </c>
      <c r="F87" s="20">
        <v>1</v>
      </c>
      <c r="G87" s="20">
        <v>1</v>
      </c>
      <c r="H87" s="20">
        <v>1</v>
      </c>
      <c r="I87" s="21">
        <v>2</v>
      </c>
      <c r="J87" s="22">
        <v>0.69</v>
      </c>
      <c r="K87" s="22">
        <v>0.56999999999999995</v>
      </c>
      <c r="L87" s="22">
        <v>0.54</v>
      </c>
      <c r="M87" s="22">
        <v>0.51</v>
      </c>
      <c r="N87" s="22">
        <v>0.5</v>
      </c>
      <c r="O87" s="22">
        <v>0.47</v>
      </c>
      <c r="P87" s="23">
        <v>85</v>
      </c>
      <c r="Q87" s="23">
        <v>0</v>
      </c>
      <c r="R87" s="24">
        <v>85</v>
      </c>
      <c r="S87" s="24">
        <v>85</v>
      </c>
      <c r="T87" s="24">
        <v>85</v>
      </c>
      <c r="U87" s="24">
        <v>85</v>
      </c>
      <c r="V87" s="24">
        <v>85</v>
      </c>
      <c r="W87" s="24">
        <v>85</v>
      </c>
      <c r="X87" s="25">
        <v>0.06</v>
      </c>
      <c r="Y87" s="25">
        <v>0.03</v>
      </c>
      <c r="Z87" s="25">
        <v>0.03</v>
      </c>
      <c r="AA87" s="25">
        <v>0.03</v>
      </c>
      <c r="AB87" s="25">
        <v>0.03</v>
      </c>
      <c r="AC87" s="25">
        <v>0.02</v>
      </c>
      <c r="AD87" s="26">
        <v>0.05</v>
      </c>
      <c r="AE87" s="26">
        <v>0.02</v>
      </c>
      <c r="AF87" s="26">
        <v>0.02</v>
      </c>
      <c r="AG87" s="26">
        <v>0.02</v>
      </c>
      <c r="AH87" s="26">
        <v>0.02</v>
      </c>
      <c r="AI87" s="26">
        <v>0.02</v>
      </c>
      <c r="AJ87" s="27">
        <v>5.78</v>
      </c>
      <c r="AK87" s="27">
        <v>3.09</v>
      </c>
      <c r="AL87" s="27">
        <v>3.04</v>
      </c>
      <c r="AM87" s="27">
        <v>2.99</v>
      </c>
      <c r="AN87" s="27">
        <v>2.95</v>
      </c>
      <c r="AO87" s="27">
        <v>2.9</v>
      </c>
      <c r="AP87" s="28">
        <v>10296.9</v>
      </c>
      <c r="AQ87" s="28">
        <v>11526</v>
      </c>
      <c r="AR87" s="28">
        <v>11531.1</v>
      </c>
      <c r="AS87" s="28">
        <v>11566.8</v>
      </c>
      <c r="AT87" s="28">
        <v>11515.8</v>
      </c>
      <c r="AU87" s="28">
        <v>11612.7</v>
      </c>
      <c r="AV87" s="29">
        <v>12114</v>
      </c>
      <c r="AW87" s="29">
        <v>13560</v>
      </c>
      <c r="AX87" s="29">
        <v>13566</v>
      </c>
      <c r="AY87" s="29">
        <v>13608</v>
      </c>
      <c r="AZ87" s="29">
        <v>13548</v>
      </c>
      <c r="BA87" s="29">
        <v>13662</v>
      </c>
      <c r="BB87" s="30">
        <v>16842</v>
      </c>
      <c r="BC87" s="30">
        <v>9136</v>
      </c>
      <c r="BD87" s="30">
        <v>9136</v>
      </c>
      <c r="BE87" s="30">
        <v>9136</v>
      </c>
      <c r="BF87" s="30">
        <v>9136</v>
      </c>
      <c r="BG87" s="30">
        <v>9136</v>
      </c>
    </row>
    <row r="88" spans="1:59" ht="15.75" thickBot="1" x14ac:dyDescent="0.3">
      <c r="A88" s="19" t="s">
        <v>513</v>
      </c>
      <c r="B88" s="19" t="s">
        <v>408</v>
      </c>
      <c r="C88" s="20">
        <v>1</v>
      </c>
      <c r="D88" s="20">
        <v>1</v>
      </c>
      <c r="E88" s="20">
        <v>1</v>
      </c>
      <c r="F88" s="20">
        <v>1</v>
      </c>
      <c r="G88" s="20">
        <v>1</v>
      </c>
      <c r="H88" s="20">
        <v>1</v>
      </c>
      <c r="I88" s="21">
        <v>2</v>
      </c>
      <c r="J88" s="22">
        <v>0.69</v>
      </c>
      <c r="K88" s="22">
        <v>0.56999999999999995</v>
      </c>
      <c r="L88" s="22">
        <v>0.54</v>
      </c>
      <c r="M88" s="22">
        <v>0.51</v>
      </c>
      <c r="N88" s="22">
        <v>0.5</v>
      </c>
      <c r="O88" s="22">
        <v>0.47</v>
      </c>
      <c r="P88" s="23">
        <v>85</v>
      </c>
      <c r="Q88" s="23">
        <v>0</v>
      </c>
      <c r="R88" s="24">
        <v>85</v>
      </c>
      <c r="S88" s="24">
        <v>85</v>
      </c>
      <c r="T88" s="24">
        <v>85</v>
      </c>
      <c r="U88" s="24">
        <v>85</v>
      </c>
      <c r="V88" s="24">
        <v>85</v>
      </c>
      <c r="W88" s="24">
        <v>85</v>
      </c>
      <c r="X88" s="25">
        <v>0.22</v>
      </c>
      <c r="Y88" s="25">
        <v>0.13</v>
      </c>
      <c r="Z88" s="25">
        <v>0.13</v>
      </c>
      <c r="AA88" s="25">
        <v>0.13</v>
      </c>
      <c r="AB88" s="25">
        <v>0.12</v>
      </c>
      <c r="AC88" s="25">
        <v>0.12</v>
      </c>
      <c r="AD88" s="26">
        <v>0.18</v>
      </c>
      <c r="AE88" s="26">
        <v>0.11</v>
      </c>
      <c r="AF88" s="26">
        <v>0.11</v>
      </c>
      <c r="AG88" s="26">
        <v>0.11</v>
      </c>
      <c r="AH88" s="26">
        <v>0.11</v>
      </c>
      <c r="AI88" s="26">
        <v>0.1</v>
      </c>
      <c r="AJ88" s="27">
        <v>22.39</v>
      </c>
      <c r="AK88" s="27">
        <v>15.03</v>
      </c>
      <c r="AL88" s="27">
        <v>14.8</v>
      </c>
      <c r="AM88" s="27">
        <v>14.57</v>
      </c>
      <c r="AN88" s="27">
        <v>14.34</v>
      </c>
      <c r="AO88" s="27">
        <v>14.11</v>
      </c>
      <c r="AP88" s="28">
        <v>10296.9</v>
      </c>
      <c r="AQ88" s="28">
        <v>11526</v>
      </c>
      <c r="AR88" s="28">
        <v>11531.1</v>
      </c>
      <c r="AS88" s="28">
        <v>11566.8</v>
      </c>
      <c r="AT88" s="28">
        <v>11515.8</v>
      </c>
      <c r="AU88" s="28">
        <v>11612.7</v>
      </c>
      <c r="AV88" s="29">
        <v>12114</v>
      </c>
      <c r="AW88" s="29">
        <v>13560</v>
      </c>
      <c r="AX88" s="29">
        <v>13566</v>
      </c>
      <c r="AY88" s="29">
        <v>13608</v>
      </c>
      <c r="AZ88" s="29">
        <v>13548</v>
      </c>
      <c r="BA88" s="29">
        <v>13662</v>
      </c>
      <c r="BB88" s="30">
        <v>36264</v>
      </c>
      <c r="BC88" s="30">
        <v>24715</v>
      </c>
      <c r="BD88" s="30">
        <v>24715</v>
      </c>
      <c r="BE88" s="30">
        <v>24715</v>
      </c>
      <c r="BF88" s="30">
        <v>24715</v>
      </c>
      <c r="BG88" s="30">
        <v>24715</v>
      </c>
    </row>
    <row r="89" spans="1:59" ht="15.75" thickBot="1" x14ac:dyDescent="0.3">
      <c r="A89" s="19" t="s">
        <v>358</v>
      </c>
      <c r="B89" s="19" t="s">
        <v>322</v>
      </c>
      <c r="C89" s="20">
        <v>1</v>
      </c>
      <c r="D89" s="20">
        <v>1</v>
      </c>
      <c r="E89" s="20">
        <v>1</v>
      </c>
      <c r="F89" s="20">
        <v>1</v>
      </c>
      <c r="G89" s="20">
        <v>1</v>
      </c>
      <c r="H89" s="20">
        <v>1</v>
      </c>
      <c r="I89" s="21">
        <v>2</v>
      </c>
      <c r="J89" s="22">
        <v>0.69</v>
      </c>
      <c r="K89" s="22">
        <v>0.56999999999999995</v>
      </c>
      <c r="L89" s="22">
        <v>0.54</v>
      </c>
      <c r="M89" s="22">
        <v>0.51</v>
      </c>
      <c r="N89" s="22">
        <v>0.5</v>
      </c>
      <c r="O89" s="22">
        <v>0.47</v>
      </c>
      <c r="P89" s="23">
        <v>85</v>
      </c>
      <c r="Q89" s="23">
        <v>0</v>
      </c>
      <c r="R89" s="24">
        <v>85</v>
      </c>
      <c r="S89" s="24">
        <v>85</v>
      </c>
      <c r="T89" s="24">
        <v>85</v>
      </c>
      <c r="U89" s="24">
        <v>85</v>
      </c>
      <c r="V89" s="24">
        <v>85</v>
      </c>
      <c r="W89" s="24">
        <v>85</v>
      </c>
      <c r="X89" s="25">
        <v>0.18</v>
      </c>
      <c r="Y89" s="25">
        <v>0.2</v>
      </c>
      <c r="Z89" s="25">
        <v>0.08</v>
      </c>
      <c r="AA89" s="25">
        <v>0.04</v>
      </c>
      <c r="AB89" s="25">
        <v>0.01</v>
      </c>
      <c r="AC89" s="25">
        <v>0.01</v>
      </c>
      <c r="AD89" s="26">
        <v>0.16</v>
      </c>
      <c r="AE89" s="26">
        <v>0.17</v>
      </c>
      <c r="AF89" s="26">
        <v>7.0000000000000007E-2</v>
      </c>
      <c r="AG89" s="26">
        <v>0.04</v>
      </c>
      <c r="AH89" s="26">
        <v>0.01</v>
      </c>
      <c r="AI89" s="26">
        <v>0.01</v>
      </c>
      <c r="AJ89" s="27">
        <v>18.88</v>
      </c>
      <c r="AK89" s="27">
        <v>22.92</v>
      </c>
      <c r="AL89" s="27">
        <v>8.8699999999999992</v>
      </c>
      <c r="AM89" s="27">
        <v>4.79</v>
      </c>
      <c r="AN89" s="27">
        <v>1.53</v>
      </c>
      <c r="AO89" s="27">
        <v>1.51</v>
      </c>
      <c r="AP89" s="28">
        <v>10296.9</v>
      </c>
      <c r="AQ89" s="28">
        <v>11526</v>
      </c>
      <c r="AR89" s="28">
        <v>11531.1</v>
      </c>
      <c r="AS89" s="28">
        <v>11566.8</v>
      </c>
      <c r="AT89" s="28">
        <v>11515.8</v>
      </c>
      <c r="AU89" s="28">
        <v>11612.7</v>
      </c>
      <c r="AV89" s="29">
        <v>12114</v>
      </c>
      <c r="AW89" s="29">
        <v>13560</v>
      </c>
      <c r="AX89" s="29">
        <v>13566</v>
      </c>
      <c r="AY89" s="29">
        <v>13608</v>
      </c>
      <c r="AZ89" s="29">
        <v>13548</v>
      </c>
      <c r="BA89" s="29">
        <v>13662</v>
      </c>
      <c r="BB89" s="30">
        <v>39336</v>
      </c>
      <c r="BC89" s="30">
        <v>48495</v>
      </c>
      <c r="BD89" s="30">
        <v>19054</v>
      </c>
      <c r="BE89" s="30">
        <v>10446</v>
      </c>
      <c r="BF89" s="30">
        <v>3399</v>
      </c>
      <c r="BG89" s="30">
        <v>3399</v>
      </c>
    </row>
    <row r="90" spans="1:59" ht="15.75" thickBot="1" x14ac:dyDescent="0.3">
      <c r="A90" s="19" t="s">
        <v>359</v>
      </c>
      <c r="B90" s="19" t="s">
        <v>323</v>
      </c>
      <c r="C90" s="20">
        <v>1</v>
      </c>
      <c r="D90" s="20">
        <v>1</v>
      </c>
      <c r="E90" s="20">
        <v>1</v>
      </c>
      <c r="F90" s="20">
        <v>1</v>
      </c>
      <c r="G90" s="20">
        <v>1</v>
      </c>
      <c r="H90" s="20">
        <v>1</v>
      </c>
      <c r="I90" s="21">
        <v>2</v>
      </c>
      <c r="J90" s="22">
        <v>0.69</v>
      </c>
      <c r="K90" s="22">
        <v>0.56999999999999995</v>
      </c>
      <c r="L90" s="22">
        <v>0.54</v>
      </c>
      <c r="M90" s="22">
        <v>0.51</v>
      </c>
      <c r="N90" s="22">
        <v>0.5</v>
      </c>
      <c r="O90" s="22">
        <v>0.47</v>
      </c>
      <c r="P90" s="23">
        <v>85</v>
      </c>
      <c r="Q90" s="23">
        <v>0</v>
      </c>
      <c r="R90" s="24">
        <v>85</v>
      </c>
      <c r="S90" s="24">
        <v>85</v>
      </c>
      <c r="T90" s="24">
        <v>85</v>
      </c>
      <c r="U90" s="24">
        <v>85</v>
      </c>
      <c r="V90" s="24">
        <v>85</v>
      </c>
      <c r="W90" s="24">
        <v>85</v>
      </c>
      <c r="X90" s="25">
        <v>0.95</v>
      </c>
      <c r="Y90" s="25">
        <v>1.03</v>
      </c>
      <c r="Z90" s="25">
        <v>1.01</v>
      </c>
      <c r="AA90" s="25">
        <v>0.99</v>
      </c>
      <c r="AB90" s="25">
        <v>0.98</v>
      </c>
      <c r="AC90" s="25">
        <v>0.96</v>
      </c>
      <c r="AD90" s="26">
        <v>0.81</v>
      </c>
      <c r="AE90" s="26">
        <v>0.87</v>
      </c>
      <c r="AF90" s="26">
        <v>0.86</v>
      </c>
      <c r="AG90" s="26">
        <v>0.85</v>
      </c>
      <c r="AH90" s="26">
        <v>0.84</v>
      </c>
      <c r="AI90" s="26">
        <v>0.82</v>
      </c>
      <c r="AJ90" s="27">
        <v>97.63</v>
      </c>
      <c r="AK90" s="27">
        <v>118.6</v>
      </c>
      <c r="AL90" s="27">
        <v>116.8</v>
      </c>
      <c r="AM90" s="27">
        <v>114.99</v>
      </c>
      <c r="AN90" s="27">
        <v>113.18</v>
      </c>
      <c r="AO90" s="27">
        <v>111.38</v>
      </c>
      <c r="AP90" s="28">
        <v>10296.9</v>
      </c>
      <c r="AQ90" s="28">
        <v>11526</v>
      </c>
      <c r="AR90" s="28">
        <v>11531.1</v>
      </c>
      <c r="AS90" s="28">
        <v>11566.8</v>
      </c>
      <c r="AT90" s="28">
        <v>11515.8</v>
      </c>
      <c r="AU90" s="28">
        <v>11612.7</v>
      </c>
      <c r="AV90" s="29">
        <v>12114</v>
      </c>
      <c r="AW90" s="29">
        <v>13560</v>
      </c>
      <c r="AX90" s="29">
        <v>13566</v>
      </c>
      <c r="AY90" s="29">
        <v>13608</v>
      </c>
      <c r="AZ90" s="29">
        <v>13548</v>
      </c>
      <c r="BA90" s="29">
        <v>13662</v>
      </c>
      <c r="BB90" s="30">
        <v>128864</v>
      </c>
      <c r="BC90" s="30">
        <v>158936</v>
      </c>
      <c r="BD90" s="30">
        <v>158936</v>
      </c>
      <c r="BE90" s="30">
        <v>158936</v>
      </c>
      <c r="BF90" s="30">
        <v>158936</v>
      </c>
      <c r="BG90" s="30">
        <v>158936</v>
      </c>
    </row>
    <row r="91" spans="1:59" ht="15.75" thickBot="1" x14ac:dyDescent="0.3">
      <c r="A91" s="19" t="s">
        <v>360</v>
      </c>
      <c r="B91" s="19" t="s">
        <v>324</v>
      </c>
      <c r="C91" s="20">
        <v>1</v>
      </c>
      <c r="D91" s="20">
        <v>1</v>
      </c>
      <c r="E91" s="20">
        <v>1</v>
      </c>
      <c r="F91" s="20">
        <v>1</v>
      </c>
      <c r="G91" s="20">
        <v>1</v>
      </c>
      <c r="H91" s="20">
        <v>1</v>
      </c>
      <c r="I91" s="21">
        <v>2</v>
      </c>
      <c r="J91" s="22">
        <v>0.69</v>
      </c>
      <c r="K91" s="22">
        <v>0.56999999999999995</v>
      </c>
      <c r="L91" s="22">
        <v>0.54</v>
      </c>
      <c r="M91" s="22">
        <v>0.51</v>
      </c>
      <c r="N91" s="22">
        <v>0.5</v>
      </c>
      <c r="O91" s="22">
        <v>0.47</v>
      </c>
      <c r="P91" s="23">
        <v>85</v>
      </c>
      <c r="Q91" s="23">
        <v>0</v>
      </c>
      <c r="R91" s="24">
        <v>85</v>
      </c>
      <c r="S91" s="24">
        <v>85</v>
      </c>
      <c r="T91" s="24">
        <v>85</v>
      </c>
      <c r="U91" s="24">
        <v>85</v>
      </c>
      <c r="V91" s="24">
        <v>85</v>
      </c>
      <c r="W91" s="24">
        <v>85</v>
      </c>
      <c r="X91" s="25">
        <v>0.76</v>
      </c>
      <c r="Y91" s="25">
        <v>0.83</v>
      </c>
      <c r="Z91" s="25">
        <v>0.82</v>
      </c>
      <c r="AA91" s="25">
        <v>0.81</v>
      </c>
      <c r="AB91" s="25">
        <v>0.8</v>
      </c>
      <c r="AC91" s="25">
        <v>0.78</v>
      </c>
      <c r="AD91" s="26">
        <v>0.64</v>
      </c>
      <c r="AE91" s="26">
        <v>0.71</v>
      </c>
      <c r="AF91" s="26">
        <v>0.7</v>
      </c>
      <c r="AG91" s="26">
        <v>0.68</v>
      </c>
      <c r="AH91" s="26">
        <v>0.68</v>
      </c>
      <c r="AI91" s="26">
        <v>0.66</v>
      </c>
      <c r="AJ91" s="27">
        <v>78.02</v>
      </c>
      <c r="AK91" s="27">
        <v>96.05</v>
      </c>
      <c r="AL91" s="27">
        <v>94.58</v>
      </c>
      <c r="AM91" s="27">
        <v>93.12</v>
      </c>
      <c r="AN91" s="27">
        <v>91.66</v>
      </c>
      <c r="AO91" s="27">
        <v>90.2</v>
      </c>
      <c r="AP91" s="28">
        <v>10296.9</v>
      </c>
      <c r="AQ91" s="28">
        <v>11526</v>
      </c>
      <c r="AR91" s="28">
        <v>11531.1</v>
      </c>
      <c r="AS91" s="28">
        <v>11566.8</v>
      </c>
      <c r="AT91" s="28">
        <v>11515.8</v>
      </c>
      <c r="AU91" s="28">
        <v>11612.7</v>
      </c>
      <c r="AV91" s="29">
        <v>12114</v>
      </c>
      <c r="AW91" s="29">
        <v>13560</v>
      </c>
      <c r="AX91" s="29">
        <v>13566</v>
      </c>
      <c r="AY91" s="29">
        <v>13608</v>
      </c>
      <c r="AZ91" s="29">
        <v>13548</v>
      </c>
      <c r="BA91" s="29">
        <v>13662</v>
      </c>
      <c r="BB91" s="30">
        <v>128724</v>
      </c>
      <c r="BC91" s="30">
        <v>160889</v>
      </c>
      <c r="BD91" s="30">
        <v>160889</v>
      </c>
      <c r="BE91" s="30">
        <v>160889</v>
      </c>
      <c r="BF91" s="30">
        <v>160889</v>
      </c>
      <c r="BG91" s="30">
        <v>160889</v>
      </c>
    </row>
    <row r="92" spans="1:59" ht="15.75" thickBot="1" x14ac:dyDescent="0.3">
      <c r="A92" s="19" t="s">
        <v>361</v>
      </c>
      <c r="B92" s="19" t="s">
        <v>325</v>
      </c>
      <c r="C92" s="20">
        <v>1</v>
      </c>
      <c r="D92" s="20">
        <v>1</v>
      </c>
      <c r="E92" s="20">
        <v>1</v>
      </c>
      <c r="F92" s="20">
        <v>1</v>
      </c>
      <c r="G92" s="20">
        <v>1</v>
      </c>
      <c r="H92" s="20">
        <v>1</v>
      </c>
      <c r="I92" s="21">
        <v>2</v>
      </c>
      <c r="J92" s="22">
        <v>0.69</v>
      </c>
      <c r="K92" s="22">
        <v>0.56999999999999995</v>
      </c>
      <c r="L92" s="22">
        <v>0.54</v>
      </c>
      <c r="M92" s="22">
        <v>0.51</v>
      </c>
      <c r="N92" s="22">
        <v>0.5</v>
      </c>
      <c r="O92" s="22">
        <v>0.47</v>
      </c>
      <c r="P92" s="23">
        <v>85</v>
      </c>
      <c r="Q92" s="23">
        <v>0</v>
      </c>
      <c r="R92" s="24">
        <v>85</v>
      </c>
      <c r="S92" s="24">
        <v>85</v>
      </c>
      <c r="T92" s="24">
        <v>85</v>
      </c>
      <c r="U92" s="24">
        <v>85</v>
      </c>
      <c r="V92" s="24">
        <v>85</v>
      </c>
      <c r="W92" s="24">
        <v>85</v>
      </c>
      <c r="X92" s="25">
        <v>0.76</v>
      </c>
      <c r="Y92" s="25">
        <v>0.81</v>
      </c>
      <c r="Z92" s="25">
        <v>0.8</v>
      </c>
      <c r="AA92" s="25">
        <v>0.79</v>
      </c>
      <c r="AB92" s="25">
        <v>0.78</v>
      </c>
      <c r="AC92" s="25">
        <v>0.76</v>
      </c>
      <c r="AD92" s="26">
        <v>0.64</v>
      </c>
      <c r="AE92" s="26">
        <v>0.69</v>
      </c>
      <c r="AF92" s="26">
        <v>0.68</v>
      </c>
      <c r="AG92" s="26">
        <v>0.67</v>
      </c>
      <c r="AH92" s="26">
        <v>0.66</v>
      </c>
      <c r="AI92" s="26">
        <v>0.64</v>
      </c>
      <c r="AJ92" s="27">
        <v>78.099999999999994</v>
      </c>
      <c r="AK92" s="27">
        <v>93.69</v>
      </c>
      <c r="AL92" s="27">
        <v>92.26</v>
      </c>
      <c r="AM92" s="27">
        <v>90.84</v>
      </c>
      <c r="AN92" s="27">
        <v>89.41</v>
      </c>
      <c r="AO92" s="27">
        <v>87.98</v>
      </c>
      <c r="AP92" s="28">
        <v>10296.9</v>
      </c>
      <c r="AQ92" s="28">
        <v>11526</v>
      </c>
      <c r="AR92" s="28">
        <v>11531.1</v>
      </c>
      <c r="AS92" s="28">
        <v>11566.8</v>
      </c>
      <c r="AT92" s="28">
        <v>11515.8</v>
      </c>
      <c r="AU92" s="28">
        <v>11612.7</v>
      </c>
      <c r="AV92" s="29">
        <v>12114</v>
      </c>
      <c r="AW92" s="29">
        <v>13560</v>
      </c>
      <c r="AX92" s="29">
        <v>13566</v>
      </c>
      <c r="AY92" s="29">
        <v>13608</v>
      </c>
      <c r="AZ92" s="29">
        <v>13548</v>
      </c>
      <c r="BA92" s="29">
        <v>13662</v>
      </c>
      <c r="BB92" s="30">
        <v>128862</v>
      </c>
      <c r="BC92" s="30">
        <v>156943</v>
      </c>
      <c r="BD92" s="30">
        <v>156943</v>
      </c>
      <c r="BE92" s="30">
        <v>156943</v>
      </c>
      <c r="BF92" s="30">
        <v>156943</v>
      </c>
      <c r="BG92" s="30">
        <v>156943</v>
      </c>
    </row>
    <row r="93" spans="1:59" ht="15.75" thickBot="1" x14ac:dyDescent="0.3">
      <c r="A93" s="19" t="s">
        <v>514</v>
      </c>
      <c r="B93" s="19" t="s">
        <v>409</v>
      </c>
      <c r="C93" s="20">
        <v>1</v>
      </c>
      <c r="D93" s="20">
        <v>1</v>
      </c>
      <c r="E93" s="20">
        <v>1</v>
      </c>
      <c r="F93" s="20">
        <v>1</v>
      </c>
      <c r="G93" s="20">
        <v>1</v>
      </c>
      <c r="H93" s="20">
        <v>1</v>
      </c>
      <c r="I93" s="21">
        <v>2</v>
      </c>
      <c r="J93" s="22">
        <v>0.69</v>
      </c>
      <c r="K93" s="22">
        <v>0.56999999999999995</v>
      </c>
      <c r="L93" s="22">
        <v>0.54</v>
      </c>
      <c r="M93" s="22">
        <v>0.51</v>
      </c>
      <c r="N93" s="22">
        <v>0.5</v>
      </c>
      <c r="O93" s="22">
        <v>0.47</v>
      </c>
      <c r="P93" s="23">
        <v>85</v>
      </c>
      <c r="Q93" s="23">
        <v>0</v>
      </c>
      <c r="R93" s="24">
        <v>85</v>
      </c>
      <c r="S93" s="24">
        <v>85</v>
      </c>
      <c r="T93" s="24">
        <v>85</v>
      </c>
      <c r="U93" s="24">
        <v>85</v>
      </c>
      <c r="V93" s="24">
        <v>85</v>
      </c>
      <c r="W93" s="24">
        <v>85</v>
      </c>
      <c r="X93" s="25">
        <v>0</v>
      </c>
      <c r="Y93" s="25">
        <v>0.02</v>
      </c>
      <c r="Z93" s="25">
        <v>0.02</v>
      </c>
      <c r="AA93" s="25">
        <v>0.02</v>
      </c>
      <c r="AB93" s="25">
        <v>0.02</v>
      </c>
      <c r="AC93" s="25">
        <v>0.02</v>
      </c>
      <c r="AD93" s="26">
        <v>0</v>
      </c>
      <c r="AE93" s="26">
        <v>0.02</v>
      </c>
      <c r="AF93" s="26">
        <v>0.02</v>
      </c>
      <c r="AG93" s="26">
        <v>0.02</v>
      </c>
      <c r="AH93" s="26">
        <v>0.02</v>
      </c>
      <c r="AI93" s="26">
        <v>0.02</v>
      </c>
      <c r="AJ93" s="27">
        <v>0</v>
      </c>
      <c r="AK93" s="27">
        <v>2.61</v>
      </c>
      <c r="AL93" s="27">
        <v>2.57</v>
      </c>
      <c r="AM93" s="27">
        <v>2.5299999999999998</v>
      </c>
      <c r="AN93" s="27">
        <v>2.4900000000000002</v>
      </c>
      <c r="AO93" s="27">
        <v>2.4500000000000002</v>
      </c>
      <c r="AP93" s="28">
        <v>10296.9</v>
      </c>
      <c r="AQ93" s="28">
        <v>11526</v>
      </c>
      <c r="AR93" s="28">
        <v>11531.1</v>
      </c>
      <c r="AS93" s="28">
        <v>11566.8</v>
      </c>
      <c r="AT93" s="28">
        <v>11515.8</v>
      </c>
      <c r="AU93" s="28">
        <v>11612.7</v>
      </c>
      <c r="AV93" s="29">
        <v>12114</v>
      </c>
      <c r="AW93" s="29">
        <v>13560</v>
      </c>
      <c r="AX93" s="29">
        <v>13566</v>
      </c>
      <c r="AY93" s="29">
        <v>13608</v>
      </c>
      <c r="AZ93" s="29">
        <v>13548</v>
      </c>
      <c r="BA93" s="29">
        <v>13662</v>
      </c>
      <c r="BB93" s="30">
        <v>0</v>
      </c>
      <c r="BC93" s="30">
        <v>3564</v>
      </c>
      <c r="BD93" s="30">
        <v>3564</v>
      </c>
      <c r="BE93" s="30">
        <v>3564</v>
      </c>
      <c r="BF93" s="30">
        <v>3564</v>
      </c>
      <c r="BG93" s="30">
        <v>3564</v>
      </c>
    </row>
    <row r="94" spans="1:59" ht="15.75" thickBot="1" x14ac:dyDescent="0.3">
      <c r="A94" s="19" t="s">
        <v>363</v>
      </c>
      <c r="B94" s="19" t="s">
        <v>364</v>
      </c>
      <c r="C94" s="20">
        <v>1</v>
      </c>
      <c r="D94" s="20">
        <v>1</v>
      </c>
      <c r="E94" s="20">
        <v>1</v>
      </c>
      <c r="F94" s="20">
        <v>1</v>
      </c>
      <c r="G94" s="20">
        <v>1</v>
      </c>
      <c r="H94" s="20">
        <v>1</v>
      </c>
      <c r="I94" s="21">
        <v>2</v>
      </c>
      <c r="J94" s="22">
        <v>0.69</v>
      </c>
      <c r="K94" s="22">
        <v>0.56999999999999995</v>
      </c>
      <c r="L94" s="22">
        <v>0.54</v>
      </c>
      <c r="M94" s="22">
        <v>0.51</v>
      </c>
      <c r="N94" s="22">
        <v>0.5</v>
      </c>
      <c r="O94" s="22">
        <v>0.47</v>
      </c>
      <c r="P94" s="23">
        <v>85</v>
      </c>
      <c r="Q94" s="23">
        <v>0</v>
      </c>
      <c r="R94" s="24">
        <v>85</v>
      </c>
      <c r="S94" s="24">
        <v>85</v>
      </c>
      <c r="T94" s="24">
        <v>85</v>
      </c>
      <c r="U94" s="24">
        <v>85</v>
      </c>
      <c r="V94" s="24">
        <v>85</v>
      </c>
      <c r="W94" s="24">
        <v>85</v>
      </c>
      <c r="X94" s="25">
        <v>0.53</v>
      </c>
      <c r="Y94" s="25">
        <v>0.4</v>
      </c>
      <c r="Z94" s="25">
        <v>0.39</v>
      </c>
      <c r="AA94" s="25">
        <v>0.38</v>
      </c>
      <c r="AB94" s="25">
        <v>0.38</v>
      </c>
      <c r="AC94" s="25">
        <v>0.37</v>
      </c>
      <c r="AD94" s="26">
        <v>0.45</v>
      </c>
      <c r="AE94" s="26">
        <v>0.34</v>
      </c>
      <c r="AF94" s="26">
        <v>0.33</v>
      </c>
      <c r="AG94" s="26">
        <v>0.32</v>
      </c>
      <c r="AH94" s="26">
        <v>0.32</v>
      </c>
      <c r="AI94" s="26">
        <v>0.31</v>
      </c>
      <c r="AJ94" s="27">
        <v>54.78</v>
      </c>
      <c r="AK94" s="27">
        <v>45.61</v>
      </c>
      <c r="AL94" s="27">
        <v>44.91</v>
      </c>
      <c r="AM94" s="27">
        <v>44.22</v>
      </c>
      <c r="AN94" s="27">
        <v>43.53</v>
      </c>
      <c r="AO94" s="27">
        <v>42.83</v>
      </c>
      <c r="AP94" s="28">
        <v>10296.9</v>
      </c>
      <c r="AQ94" s="28">
        <v>11526</v>
      </c>
      <c r="AR94" s="28">
        <v>11531.1</v>
      </c>
      <c r="AS94" s="28">
        <v>11566.8</v>
      </c>
      <c r="AT94" s="28">
        <v>11515.8</v>
      </c>
      <c r="AU94" s="28">
        <v>11612.7</v>
      </c>
      <c r="AV94" s="29">
        <v>12114</v>
      </c>
      <c r="AW94" s="29">
        <v>13560</v>
      </c>
      <c r="AX94" s="29">
        <v>13566</v>
      </c>
      <c r="AY94" s="29">
        <v>13608</v>
      </c>
      <c r="AZ94" s="29">
        <v>13548</v>
      </c>
      <c r="BA94" s="29">
        <v>13662</v>
      </c>
      <c r="BB94" s="30">
        <v>144789</v>
      </c>
      <c r="BC94" s="30">
        <v>122382</v>
      </c>
      <c r="BD94" s="30">
        <v>122382</v>
      </c>
      <c r="BE94" s="30">
        <v>122382</v>
      </c>
      <c r="BF94" s="30">
        <v>122382</v>
      </c>
      <c r="BG94" s="30">
        <v>122382</v>
      </c>
    </row>
    <row r="95" spans="1:59" ht="15.75" thickBot="1" x14ac:dyDescent="0.3">
      <c r="A95" s="19" t="s">
        <v>304</v>
      </c>
      <c r="B95" s="19" t="s">
        <v>305</v>
      </c>
      <c r="C95" s="20">
        <v>1</v>
      </c>
      <c r="D95" s="20">
        <v>1</v>
      </c>
      <c r="E95" s="20">
        <v>1</v>
      </c>
      <c r="F95" s="20">
        <v>1</v>
      </c>
      <c r="G95" s="20">
        <v>1</v>
      </c>
      <c r="H95" s="20">
        <v>1</v>
      </c>
      <c r="I95" s="21">
        <v>2</v>
      </c>
      <c r="J95" s="22">
        <v>0.69</v>
      </c>
      <c r="K95" s="22">
        <v>0.56999999999999995</v>
      </c>
      <c r="L95" s="22">
        <v>0.54</v>
      </c>
      <c r="M95" s="22">
        <v>0.51</v>
      </c>
      <c r="N95" s="22">
        <v>0.5</v>
      </c>
      <c r="O95" s="22">
        <v>0.47</v>
      </c>
      <c r="P95" s="23">
        <v>85</v>
      </c>
      <c r="Q95" s="23">
        <v>0</v>
      </c>
      <c r="R95" s="24">
        <v>85</v>
      </c>
      <c r="S95" s="24">
        <v>85</v>
      </c>
      <c r="T95" s="24">
        <v>85</v>
      </c>
      <c r="U95" s="24">
        <v>85</v>
      </c>
      <c r="V95" s="24">
        <v>85</v>
      </c>
      <c r="W95" s="24">
        <v>85</v>
      </c>
      <c r="X95" s="25">
        <v>1.04</v>
      </c>
      <c r="Y95" s="25">
        <v>0.84</v>
      </c>
      <c r="Z95" s="25">
        <v>0.83</v>
      </c>
      <c r="AA95" s="25">
        <v>0.81</v>
      </c>
      <c r="AB95" s="25">
        <v>0.81</v>
      </c>
      <c r="AC95" s="25">
        <v>0.79</v>
      </c>
      <c r="AD95" s="26">
        <v>0.89</v>
      </c>
      <c r="AE95" s="26">
        <v>0.72</v>
      </c>
      <c r="AF95" s="26">
        <v>0.71</v>
      </c>
      <c r="AG95" s="26">
        <v>0.69</v>
      </c>
      <c r="AH95" s="26">
        <v>0.68</v>
      </c>
      <c r="AI95" s="26">
        <v>0.67</v>
      </c>
      <c r="AJ95" s="27">
        <v>107.24</v>
      </c>
      <c r="AK95" s="27">
        <v>97.18</v>
      </c>
      <c r="AL95" s="27">
        <v>95.7</v>
      </c>
      <c r="AM95" s="27">
        <v>94.22</v>
      </c>
      <c r="AN95" s="27">
        <v>92.74</v>
      </c>
      <c r="AO95" s="27">
        <v>91.26</v>
      </c>
      <c r="AP95" s="28">
        <v>10296.9</v>
      </c>
      <c r="AQ95" s="28">
        <v>11526</v>
      </c>
      <c r="AR95" s="28">
        <v>11531.1</v>
      </c>
      <c r="AS95" s="28">
        <v>11566.8</v>
      </c>
      <c r="AT95" s="28">
        <v>11515.8</v>
      </c>
      <c r="AU95" s="28">
        <v>11612.7</v>
      </c>
      <c r="AV95" s="29">
        <v>12114</v>
      </c>
      <c r="AW95" s="29">
        <v>13560</v>
      </c>
      <c r="AX95" s="29">
        <v>13566</v>
      </c>
      <c r="AY95" s="29">
        <v>13608</v>
      </c>
      <c r="AZ95" s="29">
        <v>13548</v>
      </c>
      <c r="BA95" s="29">
        <v>13662</v>
      </c>
      <c r="BB95" s="30">
        <v>61772</v>
      </c>
      <c r="BC95" s="30">
        <v>56825</v>
      </c>
      <c r="BD95" s="30">
        <v>56825</v>
      </c>
      <c r="BE95" s="30">
        <v>56825</v>
      </c>
      <c r="BF95" s="30">
        <v>56825</v>
      </c>
      <c r="BG95" s="30">
        <v>56825</v>
      </c>
    </row>
    <row r="96" spans="1:59" ht="15.75" thickBot="1" x14ac:dyDescent="0.3">
      <c r="A96" s="19" t="s">
        <v>365</v>
      </c>
      <c r="B96" s="19" t="s">
        <v>366</v>
      </c>
      <c r="C96" s="20">
        <v>1</v>
      </c>
      <c r="D96" s="20">
        <v>1</v>
      </c>
      <c r="E96" s="20">
        <v>1</v>
      </c>
      <c r="F96" s="20">
        <v>1</v>
      </c>
      <c r="G96" s="20">
        <v>1</v>
      </c>
      <c r="H96" s="20">
        <v>1</v>
      </c>
      <c r="I96" s="21">
        <v>2</v>
      </c>
      <c r="J96" s="22">
        <v>0.69</v>
      </c>
      <c r="K96" s="22">
        <v>0.56999999999999995</v>
      </c>
      <c r="L96" s="22">
        <v>0.54</v>
      </c>
      <c r="M96" s="22">
        <v>0.51</v>
      </c>
      <c r="N96" s="22">
        <v>0.5</v>
      </c>
      <c r="O96" s="22">
        <v>0.47</v>
      </c>
      <c r="P96" s="23">
        <v>85</v>
      </c>
      <c r="Q96" s="23">
        <v>0</v>
      </c>
      <c r="R96" s="24">
        <v>85</v>
      </c>
      <c r="S96" s="24">
        <v>85</v>
      </c>
      <c r="T96" s="24">
        <v>85</v>
      </c>
      <c r="U96" s="24">
        <v>85</v>
      </c>
      <c r="V96" s="24">
        <v>85</v>
      </c>
      <c r="W96" s="24">
        <v>85</v>
      </c>
      <c r="X96" s="25">
        <v>0.79</v>
      </c>
      <c r="Y96" s="25">
        <v>0.91</v>
      </c>
      <c r="Z96" s="25">
        <v>0.89</v>
      </c>
      <c r="AA96" s="25">
        <v>0.88</v>
      </c>
      <c r="AB96" s="25">
        <v>0.87</v>
      </c>
      <c r="AC96" s="25">
        <v>0.85</v>
      </c>
      <c r="AD96" s="26">
        <v>0.67</v>
      </c>
      <c r="AE96" s="26">
        <v>0.77</v>
      </c>
      <c r="AF96" s="26">
        <v>0.76</v>
      </c>
      <c r="AG96" s="26">
        <v>0.75</v>
      </c>
      <c r="AH96" s="26">
        <v>0.74</v>
      </c>
      <c r="AI96" s="26">
        <v>0.72</v>
      </c>
      <c r="AJ96" s="27">
        <v>81.63</v>
      </c>
      <c r="AK96" s="27">
        <v>104.74</v>
      </c>
      <c r="AL96" s="27">
        <v>103.14</v>
      </c>
      <c r="AM96" s="27">
        <v>101.55</v>
      </c>
      <c r="AN96" s="27">
        <v>99.95</v>
      </c>
      <c r="AO96" s="27">
        <v>98.36</v>
      </c>
      <c r="AP96" s="28">
        <v>10296.9</v>
      </c>
      <c r="AQ96" s="28">
        <v>11526</v>
      </c>
      <c r="AR96" s="28">
        <v>11531.1</v>
      </c>
      <c r="AS96" s="28">
        <v>11566.8</v>
      </c>
      <c r="AT96" s="28">
        <v>11515.8</v>
      </c>
      <c r="AU96" s="28">
        <v>11612.7</v>
      </c>
      <c r="AV96" s="29">
        <v>12114</v>
      </c>
      <c r="AW96" s="29">
        <v>13560</v>
      </c>
      <c r="AX96" s="29">
        <v>13566</v>
      </c>
      <c r="AY96" s="29">
        <v>13608</v>
      </c>
      <c r="AZ96" s="29">
        <v>13548</v>
      </c>
      <c r="BA96" s="29">
        <v>13662</v>
      </c>
      <c r="BB96" s="30">
        <v>96000</v>
      </c>
      <c r="BC96" s="30">
        <v>125050</v>
      </c>
      <c r="BD96" s="30">
        <v>125050</v>
      </c>
      <c r="BE96" s="30">
        <v>125050</v>
      </c>
      <c r="BF96" s="30">
        <v>125050</v>
      </c>
      <c r="BG96" s="30">
        <v>125050</v>
      </c>
    </row>
    <row r="97" spans="1:59" ht="15.75" thickBot="1" x14ac:dyDescent="0.3">
      <c r="A97" s="19" t="s">
        <v>515</v>
      </c>
      <c r="B97" s="19" t="s">
        <v>516</v>
      </c>
      <c r="C97" s="20">
        <v>1</v>
      </c>
      <c r="D97" s="20">
        <v>1</v>
      </c>
      <c r="E97" s="20">
        <v>1</v>
      </c>
      <c r="F97" s="20">
        <v>1</v>
      </c>
      <c r="G97" s="20">
        <v>1</v>
      </c>
      <c r="H97" s="20">
        <v>1</v>
      </c>
      <c r="I97" s="21">
        <v>2</v>
      </c>
      <c r="J97" s="22">
        <v>0.69</v>
      </c>
      <c r="K97" s="22">
        <v>0.56999999999999995</v>
      </c>
      <c r="L97" s="22">
        <v>0.54</v>
      </c>
      <c r="M97" s="22">
        <v>0.51</v>
      </c>
      <c r="N97" s="22">
        <v>0.5</v>
      </c>
      <c r="O97" s="22">
        <v>0.47</v>
      </c>
      <c r="P97" s="23">
        <v>85</v>
      </c>
      <c r="Q97" s="23">
        <v>0</v>
      </c>
      <c r="R97" s="24">
        <v>85</v>
      </c>
      <c r="S97" s="24">
        <v>85</v>
      </c>
      <c r="T97" s="24">
        <v>85</v>
      </c>
      <c r="U97" s="24">
        <v>85</v>
      </c>
      <c r="V97" s="24">
        <v>85</v>
      </c>
      <c r="W97" s="24">
        <v>85</v>
      </c>
      <c r="X97" s="25">
        <v>0.64</v>
      </c>
      <c r="Y97" s="25">
        <v>0.87</v>
      </c>
      <c r="Z97" s="25">
        <v>0.86</v>
      </c>
      <c r="AA97" s="25">
        <v>0.84</v>
      </c>
      <c r="AB97" s="25">
        <v>0.83</v>
      </c>
      <c r="AC97" s="25">
        <v>0.81</v>
      </c>
      <c r="AD97" s="26">
        <v>0.54</v>
      </c>
      <c r="AE97" s="26">
        <v>0.74</v>
      </c>
      <c r="AF97" s="26">
        <v>0.73</v>
      </c>
      <c r="AG97" s="26">
        <v>0.72</v>
      </c>
      <c r="AH97" s="26">
        <v>0.71</v>
      </c>
      <c r="AI97" s="26">
        <v>0.69</v>
      </c>
      <c r="AJ97" s="27">
        <v>65.48</v>
      </c>
      <c r="AK97" s="27">
        <v>100.6</v>
      </c>
      <c r="AL97" s="27">
        <v>99.07</v>
      </c>
      <c r="AM97" s="27">
        <v>97.54</v>
      </c>
      <c r="AN97" s="27">
        <v>96.01</v>
      </c>
      <c r="AO97" s="27">
        <v>94.47</v>
      </c>
      <c r="AP97" s="28">
        <v>10296.9</v>
      </c>
      <c r="AQ97" s="28">
        <v>11526</v>
      </c>
      <c r="AR97" s="28">
        <v>11531.1</v>
      </c>
      <c r="AS97" s="28">
        <v>11566.8</v>
      </c>
      <c r="AT97" s="28">
        <v>11515.8</v>
      </c>
      <c r="AU97" s="28">
        <v>11612.7</v>
      </c>
      <c r="AV97" s="29">
        <v>12114</v>
      </c>
      <c r="AW97" s="29">
        <v>13560</v>
      </c>
      <c r="AX97" s="29">
        <v>13566</v>
      </c>
      <c r="AY97" s="29">
        <v>13608</v>
      </c>
      <c r="AZ97" s="29">
        <v>13548</v>
      </c>
      <c r="BA97" s="29">
        <v>13662</v>
      </c>
      <c r="BB97" s="30">
        <v>77000</v>
      </c>
      <c r="BC97" s="30">
        <v>120110</v>
      </c>
      <c r="BD97" s="30">
        <v>120110</v>
      </c>
      <c r="BE97" s="30">
        <v>120110</v>
      </c>
      <c r="BF97" s="30">
        <v>120110</v>
      </c>
      <c r="BG97" s="30">
        <v>120110</v>
      </c>
    </row>
    <row r="98" spans="1:59" ht="15.75" thickBot="1" x14ac:dyDescent="0.3">
      <c r="A98" s="19" t="s">
        <v>517</v>
      </c>
      <c r="B98" s="19" t="s">
        <v>518</v>
      </c>
      <c r="C98" s="20">
        <v>1</v>
      </c>
      <c r="D98" s="20">
        <v>1</v>
      </c>
      <c r="E98" s="20">
        <v>1</v>
      </c>
      <c r="F98" s="20">
        <v>1</v>
      </c>
      <c r="G98" s="20">
        <v>1</v>
      </c>
      <c r="H98" s="20">
        <v>1</v>
      </c>
      <c r="I98" s="21">
        <v>2</v>
      </c>
      <c r="J98" s="22">
        <v>0.69</v>
      </c>
      <c r="K98" s="22">
        <v>0.56999999999999995</v>
      </c>
      <c r="L98" s="22">
        <v>0.54</v>
      </c>
      <c r="M98" s="22">
        <v>0.51</v>
      </c>
      <c r="N98" s="22">
        <v>0.5</v>
      </c>
      <c r="O98" s="22">
        <v>0.47</v>
      </c>
      <c r="P98" s="23">
        <v>85</v>
      </c>
      <c r="Q98" s="23">
        <v>0</v>
      </c>
      <c r="R98" s="24">
        <v>85</v>
      </c>
      <c r="S98" s="24">
        <v>85</v>
      </c>
      <c r="T98" s="24">
        <v>85</v>
      </c>
      <c r="U98" s="24">
        <v>85</v>
      </c>
      <c r="V98" s="24">
        <v>85</v>
      </c>
      <c r="W98" s="24">
        <v>85</v>
      </c>
      <c r="X98" s="25">
        <v>0.15</v>
      </c>
      <c r="Y98" s="25">
        <v>0.74</v>
      </c>
      <c r="Z98" s="25">
        <v>0.73</v>
      </c>
      <c r="AA98" s="25">
        <v>0.72</v>
      </c>
      <c r="AB98" s="25">
        <v>0.71</v>
      </c>
      <c r="AC98" s="25">
        <v>0.69</v>
      </c>
      <c r="AD98" s="26">
        <v>0.13</v>
      </c>
      <c r="AE98" s="26">
        <v>0.63</v>
      </c>
      <c r="AF98" s="26">
        <v>0.62</v>
      </c>
      <c r="AG98" s="26">
        <v>0.61</v>
      </c>
      <c r="AH98" s="26">
        <v>0.6</v>
      </c>
      <c r="AI98" s="26">
        <v>0.59</v>
      </c>
      <c r="AJ98" s="27">
        <v>15.41</v>
      </c>
      <c r="AK98" s="27">
        <v>85.46</v>
      </c>
      <c r="AL98" s="27">
        <v>84.16</v>
      </c>
      <c r="AM98" s="27">
        <v>82.86</v>
      </c>
      <c r="AN98" s="27">
        <v>81.56</v>
      </c>
      <c r="AO98" s="27">
        <v>80.25</v>
      </c>
      <c r="AP98" s="28">
        <v>10296.9</v>
      </c>
      <c r="AQ98" s="28">
        <v>11526</v>
      </c>
      <c r="AR98" s="28">
        <v>11531.1</v>
      </c>
      <c r="AS98" s="28">
        <v>11566.8</v>
      </c>
      <c r="AT98" s="28">
        <v>11515.8</v>
      </c>
      <c r="AU98" s="28">
        <v>11612.7</v>
      </c>
      <c r="AV98" s="29">
        <v>12114</v>
      </c>
      <c r="AW98" s="29">
        <v>13560</v>
      </c>
      <c r="AX98" s="29">
        <v>13566</v>
      </c>
      <c r="AY98" s="29">
        <v>13608</v>
      </c>
      <c r="AZ98" s="29">
        <v>13548</v>
      </c>
      <c r="BA98" s="29">
        <v>13662</v>
      </c>
      <c r="BB98" s="30">
        <v>39939</v>
      </c>
      <c r="BC98" s="30">
        <v>224886</v>
      </c>
      <c r="BD98" s="30">
        <v>224886</v>
      </c>
      <c r="BE98" s="30">
        <v>224886</v>
      </c>
      <c r="BF98" s="30">
        <v>224886</v>
      </c>
      <c r="BG98" s="30">
        <v>224886</v>
      </c>
    </row>
    <row r="99" spans="1:59" ht="15.75" thickBot="1" x14ac:dyDescent="0.3">
      <c r="A99" s="19" t="s">
        <v>519</v>
      </c>
      <c r="B99" s="19" t="s">
        <v>410</v>
      </c>
      <c r="C99" s="20">
        <v>1</v>
      </c>
      <c r="D99" s="20">
        <v>1</v>
      </c>
      <c r="E99" s="20">
        <v>1</v>
      </c>
      <c r="F99" s="20">
        <v>1</v>
      </c>
      <c r="G99" s="20">
        <v>1</v>
      </c>
      <c r="H99" s="20">
        <v>1</v>
      </c>
      <c r="I99" s="21">
        <v>2</v>
      </c>
      <c r="J99" s="22">
        <v>0.69</v>
      </c>
      <c r="K99" s="22">
        <v>0.56999999999999995</v>
      </c>
      <c r="L99" s="22">
        <v>0.54</v>
      </c>
      <c r="M99" s="22">
        <v>0.51</v>
      </c>
      <c r="N99" s="22">
        <v>0.5</v>
      </c>
      <c r="O99" s="22">
        <v>0.47</v>
      </c>
      <c r="P99" s="23">
        <v>85</v>
      </c>
      <c r="Q99" s="23">
        <v>0</v>
      </c>
      <c r="R99" s="24">
        <v>85</v>
      </c>
      <c r="S99" s="24">
        <v>85</v>
      </c>
      <c r="T99" s="24">
        <v>85</v>
      </c>
      <c r="U99" s="24">
        <v>85</v>
      </c>
      <c r="V99" s="24">
        <v>85</v>
      </c>
      <c r="W99" s="24">
        <v>85</v>
      </c>
      <c r="X99" s="25">
        <v>0.43</v>
      </c>
      <c r="Y99" s="25">
        <v>0.4</v>
      </c>
      <c r="Z99" s="25">
        <v>0.39</v>
      </c>
      <c r="AA99" s="25">
        <v>0.38</v>
      </c>
      <c r="AB99" s="25">
        <v>0.38</v>
      </c>
      <c r="AC99" s="25">
        <v>0.37</v>
      </c>
      <c r="AD99" s="26">
        <v>0.36</v>
      </c>
      <c r="AE99" s="26">
        <v>0.34</v>
      </c>
      <c r="AF99" s="26">
        <v>0.33</v>
      </c>
      <c r="AG99" s="26">
        <v>0.33</v>
      </c>
      <c r="AH99" s="26">
        <v>0.32</v>
      </c>
      <c r="AI99" s="26">
        <v>0.31</v>
      </c>
      <c r="AJ99" s="27">
        <v>44.07</v>
      </c>
      <c r="AK99" s="27">
        <v>45.77</v>
      </c>
      <c r="AL99" s="27">
        <v>45.08</v>
      </c>
      <c r="AM99" s="27">
        <v>44.38</v>
      </c>
      <c r="AN99" s="27">
        <v>43.68</v>
      </c>
      <c r="AO99" s="27">
        <v>42.98</v>
      </c>
      <c r="AP99" s="28">
        <v>10296.9</v>
      </c>
      <c r="AQ99" s="28">
        <v>11526</v>
      </c>
      <c r="AR99" s="28">
        <v>11531.1</v>
      </c>
      <c r="AS99" s="28">
        <v>11566.8</v>
      </c>
      <c r="AT99" s="28">
        <v>11515.8</v>
      </c>
      <c r="AU99" s="28">
        <v>11612.7</v>
      </c>
      <c r="AV99" s="29">
        <v>12114</v>
      </c>
      <c r="AW99" s="29">
        <v>13560</v>
      </c>
      <c r="AX99" s="29">
        <v>13566</v>
      </c>
      <c r="AY99" s="29">
        <v>13608</v>
      </c>
      <c r="AZ99" s="29">
        <v>13548</v>
      </c>
      <c r="BA99" s="29">
        <v>13662</v>
      </c>
      <c r="BB99" s="30">
        <v>110000</v>
      </c>
      <c r="BC99" s="30">
        <v>115991</v>
      </c>
      <c r="BD99" s="30">
        <v>115991</v>
      </c>
      <c r="BE99" s="30">
        <v>115991</v>
      </c>
      <c r="BF99" s="30">
        <v>115991</v>
      </c>
      <c r="BG99" s="30">
        <v>115991</v>
      </c>
    </row>
    <row r="100" spans="1:59" ht="15.75" thickBot="1" x14ac:dyDescent="0.3">
      <c r="A100" s="19" t="s">
        <v>520</v>
      </c>
      <c r="B100" s="19" t="s">
        <v>521</v>
      </c>
      <c r="C100" s="20">
        <v>1</v>
      </c>
      <c r="D100" s="20">
        <v>1</v>
      </c>
      <c r="E100" s="20">
        <v>1</v>
      </c>
      <c r="F100" s="20">
        <v>1</v>
      </c>
      <c r="G100" s="20">
        <v>1</v>
      </c>
      <c r="H100" s="20">
        <v>1</v>
      </c>
      <c r="I100" s="21">
        <v>2</v>
      </c>
      <c r="J100" s="22">
        <v>0.69</v>
      </c>
      <c r="K100" s="22">
        <v>0.56999999999999995</v>
      </c>
      <c r="L100" s="22">
        <v>0.54</v>
      </c>
      <c r="M100" s="22">
        <v>0.51</v>
      </c>
      <c r="N100" s="22">
        <v>0.5</v>
      </c>
      <c r="O100" s="22">
        <v>0.47</v>
      </c>
      <c r="P100" s="23">
        <v>85</v>
      </c>
      <c r="Q100" s="23">
        <v>0</v>
      </c>
      <c r="R100" s="24">
        <v>85</v>
      </c>
      <c r="S100" s="24">
        <v>85</v>
      </c>
      <c r="T100" s="24">
        <v>85</v>
      </c>
      <c r="U100" s="24">
        <v>85</v>
      </c>
      <c r="V100" s="24">
        <v>85</v>
      </c>
      <c r="W100" s="24">
        <v>85</v>
      </c>
      <c r="X100" s="25">
        <v>0.43</v>
      </c>
      <c r="Y100" s="25">
        <v>0.46</v>
      </c>
      <c r="Z100" s="25">
        <v>0.45</v>
      </c>
      <c r="AA100" s="25">
        <v>0.44</v>
      </c>
      <c r="AB100" s="25">
        <v>0.44</v>
      </c>
      <c r="AC100" s="25">
        <v>0.42</v>
      </c>
      <c r="AD100" s="26">
        <v>0.37</v>
      </c>
      <c r="AE100" s="26">
        <v>0.39</v>
      </c>
      <c r="AF100" s="26">
        <v>0.38</v>
      </c>
      <c r="AG100" s="26">
        <v>0.37</v>
      </c>
      <c r="AH100" s="26">
        <v>0.37</v>
      </c>
      <c r="AI100" s="26">
        <v>0.36</v>
      </c>
      <c r="AJ100" s="27">
        <v>44.38</v>
      </c>
      <c r="AK100" s="27">
        <v>52.5</v>
      </c>
      <c r="AL100" s="27">
        <v>51.7</v>
      </c>
      <c r="AM100" s="27">
        <v>50.9</v>
      </c>
      <c r="AN100" s="27">
        <v>50.1</v>
      </c>
      <c r="AO100" s="27">
        <v>49.3</v>
      </c>
      <c r="AP100" s="28">
        <v>10296.9</v>
      </c>
      <c r="AQ100" s="28">
        <v>11526</v>
      </c>
      <c r="AR100" s="28">
        <v>11531.1</v>
      </c>
      <c r="AS100" s="28">
        <v>11566.8</v>
      </c>
      <c r="AT100" s="28">
        <v>11515.8</v>
      </c>
      <c r="AU100" s="28">
        <v>11612.7</v>
      </c>
      <c r="AV100" s="29">
        <v>12114</v>
      </c>
      <c r="AW100" s="29">
        <v>13560</v>
      </c>
      <c r="AX100" s="29">
        <v>13566</v>
      </c>
      <c r="AY100" s="29">
        <v>13608</v>
      </c>
      <c r="AZ100" s="29">
        <v>13548</v>
      </c>
      <c r="BA100" s="29">
        <v>13662</v>
      </c>
      <c r="BB100" s="30">
        <v>92302</v>
      </c>
      <c r="BC100" s="30">
        <v>110864</v>
      </c>
      <c r="BD100" s="30">
        <v>110864</v>
      </c>
      <c r="BE100" s="30">
        <v>110864</v>
      </c>
      <c r="BF100" s="30">
        <v>110864</v>
      </c>
      <c r="BG100" s="30">
        <v>110864</v>
      </c>
    </row>
    <row r="101" spans="1:59" ht="15.75" thickBot="1" x14ac:dyDescent="0.3">
      <c r="A101" s="19" t="s">
        <v>332</v>
      </c>
      <c r="B101" s="19" t="s">
        <v>333</v>
      </c>
      <c r="C101" s="20">
        <v>1</v>
      </c>
      <c r="D101" s="20">
        <v>1</v>
      </c>
      <c r="E101" s="20">
        <v>1</v>
      </c>
      <c r="F101" s="20">
        <v>1</v>
      </c>
      <c r="G101" s="20">
        <v>1</v>
      </c>
      <c r="H101" s="20">
        <v>1</v>
      </c>
      <c r="I101" s="21">
        <v>2</v>
      </c>
      <c r="J101" s="22">
        <v>0.69</v>
      </c>
      <c r="K101" s="22">
        <v>0.56999999999999995</v>
      </c>
      <c r="L101" s="22">
        <v>0.54</v>
      </c>
      <c r="M101" s="22">
        <v>0.51</v>
      </c>
      <c r="N101" s="22">
        <v>0.5</v>
      </c>
      <c r="O101" s="22">
        <v>0.47</v>
      </c>
      <c r="P101" s="23">
        <v>85</v>
      </c>
      <c r="Q101" s="23">
        <v>0</v>
      </c>
      <c r="R101" s="24">
        <v>85</v>
      </c>
      <c r="S101" s="24">
        <v>85</v>
      </c>
      <c r="T101" s="24">
        <v>85</v>
      </c>
      <c r="U101" s="24">
        <v>85</v>
      </c>
      <c r="V101" s="24">
        <v>85</v>
      </c>
      <c r="W101" s="24">
        <v>85</v>
      </c>
      <c r="X101" s="25">
        <v>0</v>
      </c>
      <c r="Y101" s="25">
        <v>0</v>
      </c>
      <c r="Z101" s="25">
        <v>0</v>
      </c>
      <c r="AA101" s="25">
        <v>0</v>
      </c>
      <c r="AB101" s="25">
        <v>0</v>
      </c>
      <c r="AC101" s="25">
        <v>0</v>
      </c>
      <c r="AD101" s="26">
        <v>0</v>
      </c>
      <c r="AE101" s="26">
        <v>0</v>
      </c>
      <c r="AF101" s="26">
        <v>0</v>
      </c>
      <c r="AG101" s="26">
        <v>0</v>
      </c>
      <c r="AH101" s="26">
        <v>0</v>
      </c>
      <c r="AI101" s="26">
        <v>0</v>
      </c>
      <c r="AJ101" s="27">
        <v>0</v>
      </c>
      <c r="AK101" s="27">
        <v>0</v>
      </c>
      <c r="AL101" s="27">
        <v>0</v>
      </c>
      <c r="AM101" s="27">
        <v>0</v>
      </c>
      <c r="AN101" s="27">
        <v>0</v>
      </c>
      <c r="AO101" s="27">
        <v>0</v>
      </c>
      <c r="AP101" s="28">
        <v>10296.9</v>
      </c>
      <c r="AQ101" s="28">
        <v>11526</v>
      </c>
      <c r="AR101" s="28">
        <v>11531.1</v>
      </c>
      <c r="AS101" s="28">
        <v>11566.8</v>
      </c>
      <c r="AT101" s="28">
        <v>11515.8</v>
      </c>
      <c r="AU101" s="28">
        <v>11612.7</v>
      </c>
      <c r="AV101" s="29">
        <v>12114</v>
      </c>
      <c r="AW101" s="29">
        <v>13560</v>
      </c>
      <c r="AX101" s="29">
        <v>13566</v>
      </c>
      <c r="AY101" s="29">
        <v>13608</v>
      </c>
      <c r="AZ101" s="29">
        <v>13548</v>
      </c>
      <c r="BA101" s="29">
        <v>13662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</row>
    <row r="102" spans="1:59" ht="15.75" thickBot="1" x14ac:dyDescent="0.3">
      <c r="A102" s="19" t="s">
        <v>411</v>
      </c>
      <c r="B102" s="19" t="s">
        <v>405</v>
      </c>
      <c r="C102" s="20">
        <v>1</v>
      </c>
      <c r="D102" s="20">
        <v>1</v>
      </c>
      <c r="E102" s="20">
        <v>1</v>
      </c>
      <c r="F102" s="20">
        <v>1</v>
      </c>
      <c r="G102" s="20">
        <v>1</v>
      </c>
      <c r="H102" s="20">
        <v>1</v>
      </c>
      <c r="I102" s="21">
        <v>2</v>
      </c>
      <c r="J102" s="22">
        <v>0.69</v>
      </c>
      <c r="K102" s="22">
        <v>0.56999999999999995</v>
      </c>
      <c r="L102" s="22">
        <v>0.54</v>
      </c>
      <c r="M102" s="22">
        <v>0.51</v>
      </c>
      <c r="N102" s="22">
        <v>0.5</v>
      </c>
      <c r="O102" s="22">
        <v>0.47</v>
      </c>
      <c r="P102" s="23">
        <v>85</v>
      </c>
      <c r="Q102" s="23">
        <v>0</v>
      </c>
      <c r="R102" s="24">
        <v>85</v>
      </c>
      <c r="S102" s="24">
        <v>85</v>
      </c>
      <c r="T102" s="24">
        <v>85</v>
      </c>
      <c r="U102" s="24">
        <v>85</v>
      </c>
      <c r="V102" s="24">
        <v>85</v>
      </c>
      <c r="W102" s="24">
        <v>85</v>
      </c>
      <c r="X102" s="25">
        <v>0</v>
      </c>
      <c r="Y102" s="25">
        <v>0</v>
      </c>
      <c r="Z102" s="25">
        <v>0</v>
      </c>
      <c r="AA102" s="25">
        <v>0</v>
      </c>
      <c r="AB102" s="25">
        <v>0</v>
      </c>
      <c r="AC102" s="25">
        <v>0</v>
      </c>
      <c r="AD102" s="26">
        <v>0</v>
      </c>
      <c r="AE102" s="26">
        <v>0</v>
      </c>
      <c r="AF102" s="26">
        <v>0</v>
      </c>
      <c r="AG102" s="26">
        <v>0</v>
      </c>
      <c r="AH102" s="26">
        <v>0</v>
      </c>
      <c r="AI102" s="26">
        <v>0</v>
      </c>
      <c r="AJ102" s="27">
        <v>0</v>
      </c>
      <c r="AK102" s="27">
        <v>0</v>
      </c>
      <c r="AL102" s="27">
        <v>0</v>
      </c>
      <c r="AM102" s="27">
        <v>0</v>
      </c>
      <c r="AN102" s="27">
        <v>0</v>
      </c>
      <c r="AO102" s="27">
        <v>0</v>
      </c>
      <c r="AP102" s="28">
        <v>10296.9</v>
      </c>
      <c r="AQ102" s="28">
        <v>11526</v>
      </c>
      <c r="AR102" s="28">
        <v>11531.1</v>
      </c>
      <c r="AS102" s="28">
        <v>11566.8</v>
      </c>
      <c r="AT102" s="28">
        <v>11515.8</v>
      </c>
      <c r="AU102" s="28">
        <v>11612.7</v>
      </c>
      <c r="AV102" s="29">
        <v>12114</v>
      </c>
      <c r="AW102" s="29">
        <v>13560</v>
      </c>
      <c r="AX102" s="29">
        <v>13566</v>
      </c>
      <c r="AY102" s="29">
        <v>13608</v>
      </c>
      <c r="AZ102" s="29">
        <v>13548</v>
      </c>
      <c r="BA102" s="29">
        <v>13662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</row>
    <row r="103" spans="1:59" ht="15.75" thickBot="1" x14ac:dyDescent="0.3">
      <c r="A103" s="19" t="s">
        <v>412</v>
      </c>
      <c r="B103" s="19" t="s">
        <v>404</v>
      </c>
      <c r="C103" s="20">
        <v>1</v>
      </c>
      <c r="D103" s="20">
        <v>1</v>
      </c>
      <c r="E103" s="20">
        <v>1</v>
      </c>
      <c r="F103" s="20">
        <v>1</v>
      </c>
      <c r="G103" s="20">
        <v>1</v>
      </c>
      <c r="H103" s="20">
        <v>1</v>
      </c>
      <c r="I103" s="21">
        <v>2</v>
      </c>
      <c r="J103" s="22">
        <v>0.69</v>
      </c>
      <c r="K103" s="22">
        <v>0.56999999999999995</v>
      </c>
      <c r="L103" s="22">
        <v>0.54</v>
      </c>
      <c r="M103" s="22">
        <v>0.51</v>
      </c>
      <c r="N103" s="22">
        <v>0.5</v>
      </c>
      <c r="O103" s="22">
        <v>0.47</v>
      </c>
      <c r="P103" s="23">
        <v>85</v>
      </c>
      <c r="Q103" s="23">
        <v>0</v>
      </c>
      <c r="R103" s="24">
        <v>85</v>
      </c>
      <c r="S103" s="24">
        <v>85</v>
      </c>
      <c r="T103" s="24">
        <v>85</v>
      </c>
      <c r="U103" s="24">
        <v>85</v>
      </c>
      <c r="V103" s="24">
        <v>85</v>
      </c>
      <c r="W103" s="24">
        <v>85</v>
      </c>
      <c r="X103" s="25">
        <v>0</v>
      </c>
      <c r="Y103" s="25">
        <v>0</v>
      </c>
      <c r="Z103" s="25">
        <v>0</v>
      </c>
      <c r="AA103" s="25">
        <v>0</v>
      </c>
      <c r="AB103" s="25">
        <v>0</v>
      </c>
      <c r="AC103" s="25">
        <v>0</v>
      </c>
      <c r="AD103" s="26">
        <v>0</v>
      </c>
      <c r="AE103" s="26">
        <v>0</v>
      </c>
      <c r="AF103" s="26">
        <v>0</v>
      </c>
      <c r="AG103" s="26">
        <v>0</v>
      </c>
      <c r="AH103" s="26">
        <v>0</v>
      </c>
      <c r="AI103" s="26">
        <v>0</v>
      </c>
      <c r="AJ103" s="27">
        <v>0</v>
      </c>
      <c r="AK103" s="27">
        <v>0</v>
      </c>
      <c r="AL103" s="27">
        <v>0</v>
      </c>
      <c r="AM103" s="27">
        <v>0</v>
      </c>
      <c r="AN103" s="27">
        <v>0</v>
      </c>
      <c r="AO103" s="27">
        <v>0</v>
      </c>
      <c r="AP103" s="28">
        <v>10296.9</v>
      </c>
      <c r="AQ103" s="28">
        <v>11526</v>
      </c>
      <c r="AR103" s="28">
        <v>11531.1</v>
      </c>
      <c r="AS103" s="28">
        <v>11566.8</v>
      </c>
      <c r="AT103" s="28">
        <v>11515.8</v>
      </c>
      <c r="AU103" s="28">
        <v>11612.7</v>
      </c>
      <c r="AV103" s="29">
        <v>12114</v>
      </c>
      <c r="AW103" s="29">
        <v>13560</v>
      </c>
      <c r="AX103" s="29">
        <v>13566</v>
      </c>
      <c r="AY103" s="29">
        <v>13608</v>
      </c>
      <c r="AZ103" s="29">
        <v>13548</v>
      </c>
      <c r="BA103" s="29">
        <v>13662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</row>
    <row r="104" spans="1:59" ht="15.75" thickBot="1" x14ac:dyDescent="0.3">
      <c r="A104" s="19" t="s">
        <v>413</v>
      </c>
      <c r="B104" s="19" t="s">
        <v>405</v>
      </c>
      <c r="C104" s="20">
        <v>1</v>
      </c>
      <c r="D104" s="20">
        <v>1</v>
      </c>
      <c r="E104" s="20">
        <v>1</v>
      </c>
      <c r="F104" s="20">
        <v>1</v>
      </c>
      <c r="G104" s="20">
        <v>1</v>
      </c>
      <c r="H104" s="20">
        <v>1</v>
      </c>
      <c r="I104" s="21">
        <v>2</v>
      </c>
      <c r="J104" s="22">
        <v>0.69</v>
      </c>
      <c r="K104" s="22">
        <v>0.56999999999999995</v>
      </c>
      <c r="L104" s="22">
        <v>0.54</v>
      </c>
      <c r="M104" s="22">
        <v>0.51</v>
      </c>
      <c r="N104" s="22">
        <v>0.5</v>
      </c>
      <c r="O104" s="22">
        <v>0.47</v>
      </c>
      <c r="P104" s="23">
        <v>85</v>
      </c>
      <c r="Q104" s="23">
        <v>0</v>
      </c>
      <c r="R104" s="24">
        <v>85</v>
      </c>
      <c r="S104" s="24">
        <v>85</v>
      </c>
      <c r="T104" s="24">
        <v>85</v>
      </c>
      <c r="U104" s="24">
        <v>85</v>
      </c>
      <c r="V104" s="24">
        <v>85</v>
      </c>
      <c r="W104" s="24">
        <v>85</v>
      </c>
      <c r="X104" s="25">
        <v>0</v>
      </c>
      <c r="Y104" s="25">
        <v>0</v>
      </c>
      <c r="Z104" s="25">
        <v>0</v>
      </c>
      <c r="AA104" s="25">
        <v>0</v>
      </c>
      <c r="AB104" s="25">
        <v>0</v>
      </c>
      <c r="AC104" s="25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  <c r="AJ104" s="27">
        <v>0</v>
      </c>
      <c r="AK104" s="27">
        <v>0</v>
      </c>
      <c r="AL104" s="27">
        <v>0</v>
      </c>
      <c r="AM104" s="27">
        <v>0</v>
      </c>
      <c r="AN104" s="27">
        <v>0</v>
      </c>
      <c r="AO104" s="27">
        <v>0</v>
      </c>
      <c r="AP104" s="28">
        <v>10296.9</v>
      </c>
      <c r="AQ104" s="28">
        <v>11526</v>
      </c>
      <c r="AR104" s="28">
        <v>11531.1</v>
      </c>
      <c r="AS104" s="28">
        <v>11566.8</v>
      </c>
      <c r="AT104" s="28">
        <v>11515.8</v>
      </c>
      <c r="AU104" s="28">
        <v>11612.7</v>
      </c>
      <c r="AV104" s="29">
        <v>12114</v>
      </c>
      <c r="AW104" s="29">
        <v>13560</v>
      </c>
      <c r="AX104" s="29">
        <v>13566</v>
      </c>
      <c r="AY104" s="29">
        <v>13608</v>
      </c>
      <c r="AZ104" s="29">
        <v>13548</v>
      </c>
      <c r="BA104" s="29">
        <v>13662</v>
      </c>
      <c r="BB104" s="30">
        <v>0</v>
      </c>
      <c r="BC104" s="30">
        <v>0</v>
      </c>
      <c r="BD104" s="30">
        <v>0</v>
      </c>
      <c r="BE104" s="30">
        <v>0</v>
      </c>
      <c r="BF104" s="30">
        <v>0</v>
      </c>
      <c r="BG104" s="30">
        <v>0</v>
      </c>
    </row>
    <row r="105" spans="1:59" ht="15.75" thickBot="1" x14ac:dyDescent="0.3">
      <c r="A105" s="19" t="s">
        <v>414</v>
      </c>
      <c r="B105" s="19" t="s">
        <v>404</v>
      </c>
      <c r="C105" s="20">
        <v>1</v>
      </c>
      <c r="D105" s="20">
        <v>1</v>
      </c>
      <c r="E105" s="20">
        <v>1</v>
      </c>
      <c r="F105" s="20">
        <v>1</v>
      </c>
      <c r="G105" s="20">
        <v>1</v>
      </c>
      <c r="H105" s="20">
        <v>1</v>
      </c>
      <c r="I105" s="21">
        <v>2</v>
      </c>
      <c r="J105" s="22">
        <v>0.69</v>
      </c>
      <c r="K105" s="22">
        <v>0.56999999999999995</v>
      </c>
      <c r="L105" s="22">
        <v>0.54</v>
      </c>
      <c r="M105" s="22">
        <v>0.51</v>
      </c>
      <c r="N105" s="22">
        <v>0.5</v>
      </c>
      <c r="O105" s="22">
        <v>0.47</v>
      </c>
      <c r="P105" s="23">
        <v>85</v>
      </c>
      <c r="Q105" s="23">
        <v>0</v>
      </c>
      <c r="R105" s="24">
        <v>85</v>
      </c>
      <c r="S105" s="24">
        <v>85</v>
      </c>
      <c r="T105" s="24">
        <v>85</v>
      </c>
      <c r="U105" s="24">
        <v>85</v>
      </c>
      <c r="V105" s="24">
        <v>85</v>
      </c>
      <c r="W105" s="24">
        <v>85</v>
      </c>
      <c r="X105" s="25">
        <v>0</v>
      </c>
      <c r="Y105" s="25">
        <v>0</v>
      </c>
      <c r="Z105" s="25">
        <v>0</v>
      </c>
      <c r="AA105" s="25">
        <v>0</v>
      </c>
      <c r="AB105" s="25">
        <v>0</v>
      </c>
      <c r="AC105" s="25">
        <v>0</v>
      </c>
      <c r="AD105" s="26">
        <v>0</v>
      </c>
      <c r="AE105" s="26">
        <v>0</v>
      </c>
      <c r="AF105" s="26">
        <v>0</v>
      </c>
      <c r="AG105" s="26">
        <v>0</v>
      </c>
      <c r="AH105" s="26">
        <v>0</v>
      </c>
      <c r="AI105" s="26">
        <v>0</v>
      </c>
      <c r="AJ105" s="27">
        <v>0</v>
      </c>
      <c r="AK105" s="27">
        <v>0</v>
      </c>
      <c r="AL105" s="27">
        <v>0</v>
      </c>
      <c r="AM105" s="27">
        <v>0</v>
      </c>
      <c r="AN105" s="27">
        <v>0</v>
      </c>
      <c r="AO105" s="27">
        <v>0</v>
      </c>
      <c r="AP105" s="28">
        <v>10296.9</v>
      </c>
      <c r="AQ105" s="28">
        <v>11526</v>
      </c>
      <c r="AR105" s="28">
        <v>11531.1</v>
      </c>
      <c r="AS105" s="28">
        <v>11566.8</v>
      </c>
      <c r="AT105" s="28">
        <v>11515.8</v>
      </c>
      <c r="AU105" s="28">
        <v>11612.7</v>
      </c>
      <c r="AV105" s="29">
        <v>12114</v>
      </c>
      <c r="AW105" s="29">
        <v>13560</v>
      </c>
      <c r="AX105" s="29">
        <v>13566</v>
      </c>
      <c r="AY105" s="29">
        <v>13608</v>
      </c>
      <c r="AZ105" s="29">
        <v>13548</v>
      </c>
      <c r="BA105" s="29">
        <v>13662</v>
      </c>
      <c r="BB105" s="30">
        <v>0</v>
      </c>
      <c r="BC105" s="30">
        <v>0</v>
      </c>
      <c r="BD105" s="30">
        <v>0</v>
      </c>
      <c r="BE105" s="30">
        <v>0</v>
      </c>
      <c r="BF105" s="30">
        <v>0</v>
      </c>
      <c r="BG105" s="30">
        <v>0</v>
      </c>
    </row>
    <row r="106" spans="1:59" ht="15.75" thickBot="1" x14ac:dyDescent="0.3">
      <c r="A106" s="96" t="s">
        <v>415</v>
      </c>
      <c r="B106" s="96" t="s">
        <v>416</v>
      </c>
      <c r="C106" s="97">
        <v>1</v>
      </c>
      <c r="D106" s="97">
        <v>1</v>
      </c>
      <c r="E106" s="97">
        <v>1</v>
      </c>
      <c r="F106" s="97">
        <v>1</v>
      </c>
      <c r="G106" s="97">
        <v>1</v>
      </c>
      <c r="H106" s="97">
        <v>1</v>
      </c>
      <c r="I106" s="98">
        <v>2</v>
      </c>
      <c r="J106" s="100">
        <v>0.69</v>
      </c>
      <c r="K106" s="100">
        <v>0.56999999999999995</v>
      </c>
      <c r="L106" s="100">
        <v>0.54</v>
      </c>
      <c r="M106" s="100">
        <v>0.51</v>
      </c>
      <c r="N106" s="22">
        <v>0.5</v>
      </c>
      <c r="O106" s="22">
        <v>0.47</v>
      </c>
      <c r="P106" s="23">
        <v>85</v>
      </c>
      <c r="Q106" s="23">
        <v>0</v>
      </c>
      <c r="R106" s="24">
        <v>85</v>
      </c>
      <c r="S106" s="24">
        <v>85</v>
      </c>
      <c r="T106" s="24">
        <v>85</v>
      </c>
      <c r="U106" s="24">
        <v>85</v>
      </c>
      <c r="V106" s="24">
        <v>85</v>
      </c>
      <c r="W106" s="24">
        <v>85</v>
      </c>
      <c r="X106" s="25">
        <v>0</v>
      </c>
      <c r="Y106" s="25">
        <v>0</v>
      </c>
      <c r="Z106" s="25">
        <v>0</v>
      </c>
      <c r="AA106" s="25">
        <v>0</v>
      </c>
      <c r="AB106" s="25">
        <v>0</v>
      </c>
      <c r="AC106" s="25">
        <v>0</v>
      </c>
      <c r="AD106" s="26">
        <v>0</v>
      </c>
      <c r="AE106" s="26">
        <v>0</v>
      </c>
      <c r="AF106" s="26">
        <v>0</v>
      </c>
      <c r="AG106" s="26">
        <v>0</v>
      </c>
      <c r="AH106" s="26">
        <v>0</v>
      </c>
      <c r="AI106" s="26">
        <v>0</v>
      </c>
      <c r="AJ106" s="27">
        <v>0</v>
      </c>
      <c r="AK106" s="27">
        <v>0</v>
      </c>
      <c r="AL106" s="27">
        <v>0</v>
      </c>
      <c r="AM106" s="27">
        <v>0</v>
      </c>
      <c r="AN106" s="27">
        <v>0</v>
      </c>
      <c r="AO106" s="27">
        <v>0</v>
      </c>
      <c r="AP106" s="28">
        <v>10296.9</v>
      </c>
      <c r="AQ106" s="28">
        <v>11526</v>
      </c>
      <c r="AR106" s="28">
        <v>11531.1</v>
      </c>
      <c r="AS106" s="28">
        <v>11566.8</v>
      </c>
      <c r="AT106" s="28">
        <v>11515.8</v>
      </c>
      <c r="AU106" s="28">
        <v>11612.7</v>
      </c>
      <c r="AV106" s="29">
        <v>12114</v>
      </c>
      <c r="AW106" s="29">
        <v>13560</v>
      </c>
      <c r="AX106" s="29">
        <v>13566</v>
      </c>
      <c r="AY106" s="29">
        <v>13608</v>
      </c>
      <c r="AZ106" s="29">
        <v>13548</v>
      </c>
      <c r="BA106" s="29">
        <v>13662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</row>
    <row r="107" spans="1:59" x14ac:dyDescent="0.25">
      <c r="A107" s="117" t="s">
        <v>692</v>
      </c>
      <c r="B107" s="118" t="s">
        <v>690</v>
      </c>
      <c r="C107" s="119" t="s">
        <v>691</v>
      </c>
      <c r="D107" s="119" t="s">
        <v>689</v>
      </c>
      <c r="E107" s="133" t="s">
        <v>688</v>
      </c>
      <c r="F107" s="120" t="s">
        <v>693</v>
      </c>
      <c r="I107" s="109"/>
      <c r="J107" s="109"/>
      <c r="K107" s="109"/>
      <c r="L107" s="109"/>
      <c r="AJ107" s="132">
        <f>F108</f>
        <v>0</v>
      </c>
    </row>
    <row r="108" spans="1:59" x14ac:dyDescent="0.25">
      <c r="A108" s="130"/>
      <c r="B108" s="130"/>
      <c r="C108" s="130"/>
      <c r="D108" s="131">
        <f>C108/60</f>
        <v>0</v>
      </c>
      <c r="E108" s="130"/>
      <c r="F108" s="131">
        <f>IF(AND(C108&lt;&gt;0,E108&lt;&gt;0),E108/C108,0)</f>
        <v>0</v>
      </c>
      <c r="AJ108" s="132">
        <f t="shared" ref="AJ108:AJ136" si="0">F109</f>
        <v>0</v>
      </c>
    </row>
    <row r="109" spans="1:59" x14ac:dyDescent="0.25">
      <c r="A109" s="130"/>
      <c r="B109" s="130"/>
      <c r="C109" s="130"/>
      <c r="D109" s="131">
        <f t="shared" ref="D109:D136" si="1">C109/60</f>
        <v>0</v>
      </c>
      <c r="E109" s="130"/>
      <c r="F109" s="131">
        <f t="shared" ref="F109:F136" si="2">IF(AND(C109&lt;&gt;0,E109&lt;&gt;0),E109/C109,0)</f>
        <v>0</v>
      </c>
      <c r="AJ109" s="132">
        <f t="shared" si="0"/>
        <v>0</v>
      </c>
    </row>
    <row r="110" spans="1:59" x14ac:dyDescent="0.25">
      <c r="A110" s="130"/>
      <c r="B110" s="130"/>
      <c r="C110" s="130"/>
      <c r="D110" s="131">
        <f t="shared" si="1"/>
        <v>0</v>
      </c>
      <c r="E110" s="130"/>
      <c r="F110" s="131">
        <f t="shared" si="2"/>
        <v>0</v>
      </c>
      <c r="AJ110" s="132">
        <f t="shared" si="0"/>
        <v>0</v>
      </c>
    </row>
    <row r="111" spans="1:59" x14ac:dyDescent="0.25">
      <c r="A111" s="130"/>
      <c r="B111" s="130"/>
      <c r="C111" s="130"/>
      <c r="D111" s="131">
        <f t="shared" si="1"/>
        <v>0</v>
      </c>
      <c r="E111" s="130"/>
      <c r="F111" s="131">
        <f t="shared" si="2"/>
        <v>0</v>
      </c>
      <c r="AJ111" s="132">
        <f t="shared" si="0"/>
        <v>0</v>
      </c>
    </row>
    <row r="112" spans="1:59" x14ac:dyDescent="0.25">
      <c r="A112" s="130"/>
      <c r="B112" s="130"/>
      <c r="C112" s="130"/>
      <c r="D112" s="131">
        <f t="shared" si="1"/>
        <v>0</v>
      </c>
      <c r="E112" s="130"/>
      <c r="F112" s="131">
        <f t="shared" si="2"/>
        <v>0</v>
      </c>
      <c r="AJ112" s="132">
        <f t="shared" si="0"/>
        <v>0</v>
      </c>
    </row>
    <row r="113" spans="1:36" x14ac:dyDescent="0.25">
      <c r="A113" s="130"/>
      <c r="B113" s="130"/>
      <c r="C113" s="130"/>
      <c r="D113" s="131">
        <f t="shared" si="1"/>
        <v>0</v>
      </c>
      <c r="E113" s="130"/>
      <c r="F113" s="131">
        <f t="shared" si="2"/>
        <v>0</v>
      </c>
      <c r="AJ113" s="132">
        <f t="shared" si="0"/>
        <v>0</v>
      </c>
    </row>
    <row r="114" spans="1:36" x14ac:dyDescent="0.25">
      <c r="A114" s="130"/>
      <c r="B114" s="130"/>
      <c r="C114" s="130"/>
      <c r="D114" s="131">
        <f t="shared" si="1"/>
        <v>0</v>
      </c>
      <c r="E114" s="130"/>
      <c r="F114" s="131">
        <f t="shared" si="2"/>
        <v>0</v>
      </c>
      <c r="AJ114" s="132">
        <f t="shared" si="0"/>
        <v>0</v>
      </c>
    </row>
    <row r="115" spans="1:36" x14ac:dyDescent="0.25">
      <c r="A115" s="130"/>
      <c r="B115" s="130"/>
      <c r="C115" s="130"/>
      <c r="D115" s="131">
        <f t="shared" si="1"/>
        <v>0</v>
      </c>
      <c r="E115" s="130"/>
      <c r="F115" s="131">
        <f t="shared" si="2"/>
        <v>0</v>
      </c>
      <c r="AJ115" s="132">
        <f t="shared" si="0"/>
        <v>0</v>
      </c>
    </row>
    <row r="116" spans="1:36" x14ac:dyDescent="0.25">
      <c r="A116" s="130"/>
      <c r="B116" s="130"/>
      <c r="C116" s="130"/>
      <c r="D116" s="131">
        <f t="shared" si="1"/>
        <v>0</v>
      </c>
      <c r="E116" s="130"/>
      <c r="F116" s="131">
        <f t="shared" si="2"/>
        <v>0</v>
      </c>
      <c r="AJ116" s="132">
        <f t="shared" si="0"/>
        <v>0</v>
      </c>
    </row>
    <row r="117" spans="1:36" x14ac:dyDescent="0.25">
      <c r="A117" s="130"/>
      <c r="B117" s="130"/>
      <c r="C117" s="130"/>
      <c r="D117" s="131">
        <f t="shared" si="1"/>
        <v>0</v>
      </c>
      <c r="E117" s="130"/>
      <c r="F117" s="131">
        <f t="shared" si="2"/>
        <v>0</v>
      </c>
      <c r="AJ117" s="132">
        <f t="shared" si="0"/>
        <v>0</v>
      </c>
    </row>
    <row r="118" spans="1:36" x14ac:dyDescent="0.25">
      <c r="A118" s="130"/>
      <c r="B118" s="130"/>
      <c r="C118" s="130"/>
      <c r="D118" s="131">
        <f t="shared" si="1"/>
        <v>0</v>
      </c>
      <c r="E118" s="130"/>
      <c r="F118" s="131">
        <f t="shared" si="2"/>
        <v>0</v>
      </c>
      <c r="AJ118" s="132">
        <f t="shared" si="0"/>
        <v>0</v>
      </c>
    </row>
    <row r="119" spans="1:36" x14ac:dyDescent="0.25">
      <c r="A119" s="130"/>
      <c r="B119" s="130"/>
      <c r="C119" s="130"/>
      <c r="D119" s="131">
        <f t="shared" si="1"/>
        <v>0</v>
      </c>
      <c r="E119" s="130"/>
      <c r="F119" s="131">
        <f t="shared" si="2"/>
        <v>0</v>
      </c>
      <c r="AJ119" s="132">
        <f t="shared" si="0"/>
        <v>0</v>
      </c>
    </row>
    <row r="120" spans="1:36" x14ac:dyDescent="0.25">
      <c r="A120" s="130"/>
      <c r="B120" s="130"/>
      <c r="C120" s="130"/>
      <c r="D120" s="131">
        <f t="shared" si="1"/>
        <v>0</v>
      </c>
      <c r="E120" s="130"/>
      <c r="F120" s="131">
        <f t="shared" si="2"/>
        <v>0</v>
      </c>
      <c r="AJ120" s="132">
        <f t="shared" si="0"/>
        <v>0</v>
      </c>
    </row>
    <row r="121" spans="1:36" x14ac:dyDescent="0.25">
      <c r="A121" s="130"/>
      <c r="B121" s="130"/>
      <c r="C121" s="130"/>
      <c r="D121" s="131">
        <f t="shared" si="1"/>
        <v>0</v>
      </c>
      <c r="E121" s="130"/>
      <c r="F121" s="131">
        <f t="shared" si="2"/>
        <v>0</v>
      </c>
      <c r="AJ121" s="132">
        <f t="shared" si="0"/>
        <v>0</v>
      </c>
    </row>
    <row r="122" spans="1:36" x14ac:dyDescent="0.25">
      <c r="A122" s="130"/>
      <c r="B122" s="130"/>
      <c r="C122" s="130"/>
      <c r="D122" s="131">
        <f t="shared" si="1"/>
        <v>0</v>
      </c>
      <c r="E122" s="130"/>
      <c r="F122" s="131">
        <f t="shared" si="2"/>
        <v>0</v>
      </c>
      <c r="AJ122" s="132">
        <f t="shared" si="0"/>
        <v>0</v>
      </c>
    </row>
    <row r="123" spans="1:36" x14ac:dyDescent="0.25">
      <c r="A123" s="130"/>
      <c r="B123" s="130"/>
      <c r="C123" s="130"/>
      <c r="D123" s="131">
        <f t="shared" si="1"/>
        <v>0</v>
      </c>
      <c r="E123" s="130"/>
      <c r="F123" s="131">
        <f t="shared" si="2"/>
        <v>0</v>
      </c>
      <c r="AJ123" s="132">
        <f t="shared" si="0"/>
        <v>0</v>
      </c>
    </row>
    <row r="124" spans="1:36" x14ac:dyDescent="0.25">
      <c r="A124" s="130"/>
      <c r="B124" s="130"/>
      <c r="C124" s="130"/>
      <c r="D124" s="131">
        <f t="shared" si="1"/>
        <v>0</v>
      </c>
      <c r="E124" s="130"/>
      <c r="F124" s="131">
        <f t="shared" si="2"/>
        <v>0</v>
      </c>
      <c r="AJ124" s="132">
        <f t="shared" si="0"/>
        <v>0</v>
      </c>
    </row>
    <row r="125" spans="1:36" x14ac:dyDescent="0.25">
      <c r="A125" s="130"/>
      <c r="B125" s="130"/>
      <c r="C125" s="130"/>
      <c r="D125" s="131">
        <f t="shared" si="1"/>
        <v>0</v>
      </c>
      <c r="E125" s="130"/>
      <c r="F125" s="131">
        <f t="shared" si="2"/>
        <v>0</v>
      </c>
      <c r="AJ125" s="132">
        <f t="shared" si="0"/>
        <v>0</v>
      </c>
    </row>
    <row r="126" spans="1:36" x14ac:dyDescent="0.25">
      <c r="A126" s="130"/>
      <c r="B126" s="130"/>
      <c r="C126" s="130"/>
      <c r="D126" s="131">
        <f t="shared" si="1"/>
        <v>0</v>
      </c>
      <c r="E126" s="130"/>
      <c r="F126" s="131">
        <f t="shared" si="2"/>
        <v>0</v>
      </c>
      <c r="AJ126" s="132">
        <f t="shared" si="0"/>
        <v>0</v>
      </c>
    </row>
    <row r="127" spans="1:36" x14ac:dyDescent="0.25">
      <c r="A127" s="130"/>
      <c r="B127" s="130"/>
      <c r="C127" s="130"/>
      <c r="D127" s="131">
        <f t="shared" si="1"/>
        <v>0</v>
      </c>
      <c r="E127" s="130"/>
      <c r="F127" s="131">
        <f t="shared" si="2"/>
        <v>0</v>
      </c>
      <c r="AJ127" s="132">
        <f t="shared" si="0"/>
        <v>0</v>
      </c>
    </row>
    <row r="128" spans="1:36" x14ac:dyDescent="0.25">
      <c r="A128" s="130"/>
      <c r="B128" s="130"/>
      <c r="C128" s="130"/>
      <c r="D128" s="131">
        <f t="shared" si="1"/>
        <v>0</v>
      </c>
      <c r="E128" s="130"/>
      <c r="F128" s="131">
        <f t="shared" si="2"/>
        <v>0</v>
      </c>
      <c r="AJ128" s="132">
        <f t="shared" si="0"/>
        <v>0</v>
      </c>
    </row>
    <row r="129" spans="1:36" x14ac:dyDescent="0.25">
      <c r="A129" s="130"/>
      <c r="B129" s="130"/>
      <c r="C129" s="130"/>
      <c r="D129" s="131">
        <f t="shared" si="1"/>
        <v>0</v>
      </c>
      <c r="E129" s="130"/>
      <c r="F129" s="131">
        <f t="shared" si="2"/>
        <v>0</v>
      </c>
      <c r="AJ129" s="132">
        <f t="shared" si="0"/>
        <v>0</v>
      </c>
    </row>
    <row r="130" spans="1:36" x14ac:dyDescent="0.25">
      <c r="A130" s="130"/>
      <c r="B130" s="130"/>
      <c r="C130" s="130"/>
      <c r="D130" s="131">
        <f t="shared" si="1"/>
        <v>0</v>
      </c>
      <c r="E130" s="130"/>
      <c r="F130" s="131">
        <f t="shared" si="2"/>
        <v>0</v>
      </c>
      <c r="AJ130" s="132">
        <f t="shared" si="0"/>
        <v>0</v>
      </c>
    </row>
    <row r="131" spans="1:36" x14ac:dyDescent="0.25">
      <c r="A131" s="130"/>
      <c r="B131" s="130"/>
      <c r="C131" s="130"/>
      <c r="D131" s="131">
        <f t="shared" si="1"/>
        <v>0</v>
      </c>
      <c r="E131" s="130"/>
      <c r="F131" s="131">
        <f t="shared" si="2"/>
        <v>0</v>
      </c>
      <c r="AJ131" s="132">
        <f t="shared" si="0"/>
        <v>0</v>
      </c>
    </row>
    <row r="132" spans="1:36" x14ac:dyDescent="0.25">
      <c r="A132" s="130"/>
      <c r="B132" s="130"/>
      <c r="C132" s="130"/>
      <c r="D132" s="131">
        <f t="shared" si="1"/>
        <v>0</v>
      </c>
      <c r="E132" s="130"/>
      <c r="F132" s="131">
        <f t="shared" si="2"/>
        <v>0</v>
      </c>
      <c r="AJ132" s="132">
        <f t="shared" si="0"/>
        <v>0</v>
      </c>
    </row>
    <row r="133" spans="1:36" x14ac:dyDescent="0.25">
      <c r="A133" s="130"/>
      <c r="B133" s="130"/>
      <c r="C133" s="130"/>
      <c r="D133" s="131">
        <f t="shared" si="1"/>
        <v>0</v>
      </c>
      <c r="E133" s="130"/>
      <c r="F133" s="131">
        <f t="shared" si="2"/>
        <v>0</v>
      </c>
      <c r="AJ133" s="132">
        <f t="shared" si="0"/>
        <v>0</v>
      </c>
    </row>
    <row r="134" spans="1:36" x14ac:dyDescent="0.25">
      <c r="A134" s="130"/>
      <c r="B134" s="130"/>
      <c r="C134" s="130"/>
      <c r="D134" s="131">
        <f t="shared" si="1"/>
        <v>0</v>
      </c>
      <c r="E134" s="130"/>
      <c r="F134" s="131">
        <f t="shared" si="2"/>
        <v>0</v>
      </c>
      <c r="AJ134" s="132">
        <f t="shared" si="0"/>
        <v>0</v>
      </c>
    </row>
    <row r="135" spans="1:36" x14ac:dyDescent="0.25">
      <c r="A135" s="130"/>
      <c r="B135" s="130"/>
      <c r="C135" s="130"/>
      <c r="D135" s="131">
        <f t="shared" si="1"/>
        <v>0</v>
      </c>
      <c r="E135" s="130"/>
      <c r="F135" s="131">
        <f t="shared" si="2"/>
        <v>0</v>
      </c>
      <c r="AJ135" s="132">
        <f t="shared" si="0"/>
        <v>0</v>
      </c>
    </row>
    <row r="136" spans="1:36" x14ac:dyDescent="0.25">
      <c r="A136" s="130"/>
      <c r="B136" s="130"/>
      <c r="C136" s="130"/>
      <c r="D136" s="131">
        <f t="shared" si="1"/>
        <v>0</v>
      </c>
      <c r="E136" s="130"/>
      <c r="F136" s="131">
        <f t="shared" si="2"/>
        <v>0</v>
      </c>
      <c r="AJ136" s="132">
        <f t="shared" si="0"/>
        <v>0</v>
      </c>
    </row>
  </sheetData>
  <mergeCells count="11">
    <mergeCell ref="X1:AC1"/>
    <mergeCell ref="A1:B1"/>
    <mergeCell ref="C1:H1"/>
    <mergeCell ref="J1:O1"/>
    <mergeCell ref="P1:Q1"/>
    <mergeCell ref="R1:W1"/>
    <mergeCell ref="AD1:AI1"/>
    <mergeCell ref="AJ1:AO1"/>
    <mergeCell ref="AP1:AU1"/>
    <mergeCell ref="AV1:BA1"/>
    <mergeCell ref="BB1:BG1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F3EC-62E5-4BB9-AB80-E008D216D79B}">
  <dimension ref="A1:BG138"/>
  <sheetViews>
    <sheetView topLeftCell="A89" zoomScaleNormal="100" workbookViewId="0">
      <selection activeCell="A99" sqref="A99:F99"/>
    </sheetView>
  </sheetViews>
  <sheetFormatPr defaultRowHeight="15" x14ac:dyDescent="0.25"/>
  <cols>
    <col min="1" max="1" width="19.42578125" bestFit="1" customWidth="1"/>
    <col min="2" max="2" width="39.5703125" bestFit="1" customWidth="1"/>
    <col min="3" max="3" width="22.5703125" bestFit="1" customWidth="1"/>
    <col min="4" max="4" width="7.85546875" bestFit="1" customWidth="1"/>
    <col min="5" max="5" width="15.140625" bestFit="1" customWidth="1"/>
    <col min="6" max="6" width="18.85546875" bestFit="1" customWidth="1"/>
    <col min="7" max="8" width="5.5703125" bestFit="1" customWidth="1"/>
    <col min="9" max="9" width="16.28515625" bestFit="1" customWidth="1"/>
    <col min="10" max="15" width="6.28515625" bestFit="1" customWidth="1"/>
    <col min="16" max="16" width="15.140625" bestFit="1" customWidth="1"/>
    <col min="17" max="17" width="13.85546875" bestFit="1" customWidth="1"/>
    <col min="18" max="23" width="7.42578125" bestFit="1" customWidth="1"/>
    <col min="24" max="35" width="8.5703125" bestFit="1" customWidth="1"/>
    <col min="36" max="53" width="10.28515625" bestFit="1" customWidth="1"/>
    <col min="54" max="59" width="15.5703125" bestFit="1" customWidth="1"/>
  </cols>
  <sheetData>
    <row r="1" spans="1:59" ht="15.75" thickBot="1" x14ac:dyDescent="0.3">
      <c r="A1" s="197"/>
      <c r="B1" s="199"/>
      <c r="C1" s="197" t="s">
        <v>130</v>
      </c>
      <c r="D1" s="198"/>
      <c r="E1" s="198"/>
      <c r="F1" s="198"/>
      <c r="G1" s="198"/>
      <c r="H1" s="199"/>
      <c r="I1" s="7" t="s">
        <v>175</v>
      </c>
      <c r="J1" s="197" t="s">
        <v>176</v>
      </c>
      <c r="K1" s="198"/>
      <c r="L1" s="198"/>
      <c r="M1" s="198"/>
      <c r="N1" s="198"/>
      <c r="O1" s="199"/>
      <c r="P1" s="197" t="s">
        <v>133</v>
      </c>
      <c r="Q1" s="199"/>
      <c r="R1" s="197" t="s">
        <v>134</v>
      </c>
      <c r="S1" s="198"/>
      <c r="T1" s="198"/>
      <c r="U1" s="198"/>
      <c r="V1" s="198"/>
      <c r="W1" s="199"/>
      <c r="X1" s="197" t="s">
        <v>135</v>
      </c>
      <c r="Y1" s="198"/>
      <c r="Z1" s="198"/>
      <c r="AA1" s="198"/>
      <c r="AB1" s="198"/>
      <c r="AC1" s="199"/>
      <c r="AD1" s="197" t="s">
        <v>136</v>
      </c>
      <c r="AE1" s="198"/>
      <c r="AF1" s="198"/>
      <c r="AG1" s="198"/>
      <c r="AH1" s="198"/>
      <c r="AI1" s="199"/>
      <c r="AJ1" s="197" t="s">
        <v>177</v>
      </c>
      <c r="AK1" s="198"/>
      <c r="AL1" s="198"/>
      <c r="AM1" s="198"/>
      <c r="AN1" s="198"/>
      <c r="AO1" s="199"/>
      <c r="AP1" s="197" t="s">
        <v>138</v>
      </c>
      <c r="AQ1" s="198"/>
      <c r="AR1" s="198"/>
      <c r="AS1" s="198"/>
      <c r="AT1" s="198"/>
      <c r="AU1" s="199"/>
      <c r="AV1" s="197" t="s">
        <v>139</v>
      </c>
      <c r="AW1" s="198"/>
      <c r="AX1" s="198"/>
      <c r="AY1" s="198"/>
      <c r="AZ1" s="198"/>
      <c r="BA1" s="199"/>
      <c r="BB1" s="197" t="s">
        <v>140</v>
      </c>
      <c r="BC1" s="198"/>
      <c r="BD1" s="198"/>
      <c r="BE1" s="198"/>
      <c r="BF1" s="198"/>
      <c r="BG1" s="199"/>
    </row>
    <row r="2" spans="1:59" ht="15.75" thickBot="1" x14ac:dyDescent="0.3">
      <c r="A2" s="7" t="s">
        <v>141</v>
      </c>
      <c r="B2" s="7" t="s">
        <v>142</v>
      </c>
      <c r="C2" s="7">
        <v>2025</v>
      </c>
      <c r="D2" s="7">
        <v>2026</v>
      </c>
      <c r="E2" s="7">
        <v>2027</v>
      </c>
      <c r="F2" s="7">
        <v>2028</v>
      </c>
      <c r="G2" s="7">
        <v>2029</v>
      </c>
      <c r="H2" s="7">
        <v>2030</v>
      </c>
      <c r="I2" s="7" t="s">
        <v>143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 t="s">
        <v>144</v>
      </c>
      <c r="Q2" s="7" t="s">
        <v>145</v>
      </c>
      <c r="R2" s="7">
        <v>2025</v>
      </c>
      <c r="S2" s="7">
        <v>2026</v>
      </c>
      <c r="T2" s="7">
        <v>2027</v>
      </c>
      <c r="U2" s="7">
        <v>2028</v>
      </c>
      <c r="V2" s="7">
        <v>2029</v>
      </c>
      <c r="W2" s="7">
        <v>2030</v>
      </c>
      <c r="X2" s="7">
        <v>2025</v>
      </c>
      <c r="Y2" s="7">
        <v>2026</v>
      </c>
      <c r="Z2" s="7">
        <v>2027</v>
      </c>
      <c r="AA2" s="7">
        <v>2028</v>
      </c>
      <c r="AB2" s="7">
        <v>2029</v>
      </c>
      <c r="AC2" s="7">
        <v>2030</v>
      </c>
      <c r="AD2" s="7">
        <v>2025</v>
      </c>
      <c r="AE2" s="7">
        <v>2026</v>
      </c>
      <c r="AF2" s="7">
        <v>2027</v>
      </c>
      <c r="AG2" s="7">
        <v>2028</v>
      </c>
      <c r="AH2" s="7">
        <v>2029</v>
      </c>
      <c r="AI2" s="7">
        <v>2030</v>
      </c>
      <c r="AJ2" s="7">
        <v>2025</v>
      </c>
      <c r="AK2" s="7">
        <v>2026</v>
      </c>
      <c r="AL2" s="7">
        <v>2027</v>
      </c>
      <c r="AM2" s="7">
        <v>2028</v>
      </c>
      <c r="AN2" s="7">
        <v>2029</v>
      </c>
      <c r="AO2" s="7">
        <v>2030</v>
      </c>
      <c r="AP2" s="7">
        <v>2025</v>
      </c>
      <c r="AQ2" s="7">
        <v>2026</v>
      </c>
      <c r="AR2" s="7">
        <v>2027</v>
      </c>
      <c r="AS2" s="7">
        <v>2028</v>
      </c>
      <c r="AT2" s="7">
        <v>2029</v>
      </c>
      <c r="AU2" s="7">
        <v>2030</v>
      </c>
      <c r="AV2" s="7">
        <v>2025</v>
      </c>
      <c r="AW2" s="7">
        <v>2026</v>
      </c>
      <c r="AX2" s="7">
        <v>2027</v>
      </c>
      <c r="AY2" s="7">
        <v>2028</v>
      </c>
      <c r="AZ2" s="7">
        <v>2029</v>
      </c>
      <c r="BA2" s="7">
        <v>2030</v>
      </c>
      <c r="BB2" s="7">
        <v>2025</v>
      </c>
      <c r="BC2" s="7">
        <v>2026</v>
      </c>
      <c r="BD2" s="7">
        <v>2027</v>
      </c>
      <c r="BE2" s="7">
        <v>2028</v>
      </c>
      <c r="BF2" s="7">
        <v>2029</v>
      </c>
      <c r="BG2" s="7">
        <v>2030</v>
      </c>
    </row>
    <row r="3" spans="1:59" ht="15.75" thickBot="1" x14ac:dyDescent="0.3">
      <c r="A3" s="7" t="s">
        <v>146</v>
      </c>
      <c r="B3" s="7"/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9">
        <v>1</v>
      </c>
      <c r="J3" s="10">
        <v>2.56</v>
      </c>
      <c r="K3" s="10">
        <v>2.67</v>
      </c>
      <c r="L3" s="10">
        <v>3.02</v>
      </c>
      <c r="M3" s="10">
        <v>3.33</v>
      </c>
      <c r="N3" s="10">
        <v>3.67</v>
      </c>
      <c r="O3" s="10">
        <v>3.82</v>
      </c>
      <c r="P3" s="11">
        <v>85</v>
      </c>
      <c r="Q3" s="11">
        <v>0</v>
      </c>
      <c r="R3" s="12">
        <v>85</v>
      </c>
      <c r="S3" s="12">
        <v>85</v>
      </c>
      <c r="T3" s="12">
        <v>85</v>
      </c>
      <c r="U3" s="12">
        <v>85</v>
      </c>
      <c r="V3" s="12">
        <v>85</v>
      </c>
      <c r="W3" s="12">
        <v>85</v>
      </c>
      <c r="X3" s="13">
        <v>256.14</v>
      </c>
      <c r="Y3" s="13">
        <v>266.93</v>
      </c>
      <c r="Z3" s="13">
        <v>302.41000000000003</v>
      </c>
      <c r="AA3" s="13">
        <v>332.96</v>
      </c>
      <c r="AB3" s="13">
        <v>367.12</v>
      </c>
      <c r="AC3" s="13">
        <v>381.54</v>
      </c>
      <c r="AD3" s="14">
        <v>217.72</v>
      </c>
      <c r="AE3" s="14">
        <v>226.89</v>
      </c>
      <c r="AF3" s="14">
        <v>257.05</v>
      </c>
      <c r="AG3" s="14">
        <v>283.02</v>
      </c>
      <c r="AH3" s="14">
        <v>312.05</v>
      </c>
      <c r="AI3" s="14">
        <v>324.31</v>
      </c>
      <c r="AJ3" s="15">
        <v>6322.48</v>
      </c>
      <c r="AK3" s="15">
        <v>6895.32</v>
      </c>
      <c r="AL3" s="15">
        <v>7742.23</v>
      </c>
      <c r="AM3" s="15">
        <v>8600.9</v>
      </c>
      <c r="AN3" s="15">
        <v>9417.68</v>
      </c>
      <c r="AO3" s="15">
        <v>9826.4599999999991</v>
      </c>
      <c r="AP3" s="16">
        <v>2468.4</v>
      </c>
      <c r="AQ3" s="16">
        <v>2583.15</v>
      </c>
      <c r="AR3" s="16">
        <v>2560.1999999999998</v>
      </c>
      <c r="AS3" s="16">
        <v>2583.15</v>
      </c>
      <c r="AT3" s="16">
        <v>2565.3000000000002</v>
      </c>
      <c r="AU3" s="16">
        <v>2575.5</v>
      </c>
      <c r="AV3" s="17">
        <v>2904</v>
      </c>
      <c r="AW3" s="17">
        <v>3039</v>
      </c>
      <c r="AX3" s="17">
        <v>3012</v>
      </c>
      <c r="AY3" s="17">
        <v>3039</v>
      </c>
      <c r="AZ3" s="17">
        <v>3018</v>
      </c>
      <c r="BA3" s="17">
        <v>3030</v>
      </c>
      <c r="BB3" s="18">
        <v>23218029.52</v>
      </c>
      <c r="BC3" s="18">
        <v>19144474</v>
      </c>
      <c r="BD3" s="18">
        <v>21836326</v>
      </c>
      <c r="BE3" s="18">
        <v>24506438</v>
      </c>
      <c r="BF3" s="18">
        <v>27173836</v>
      </c>
      <c r="BG3" s="18">
        <v>29745074</v>
      </c>
    </row>
    <row r="4" spans="1:59" ht="15.75" thickBot="1" x14ac:dyDescent="0.3">
      <c r="A4" s="19" t="s">
        <v>269</v>
      </c>
      <c r="B4" s="19" t="s">
        <v>270</v>
      </c>
      <c r="C4" s="20">
        <v>1</v>
      </c>
      <c r="D4" s="20">
        <v>1</v>
      </c>
      <c r="E4" s="20">
        <v>1</v>
      </c>
      <c r="F4" s="20">
        <v>1</v>
      </c>
      <c r="G4" s="20">
        <v>1</v>
      </c>
      <c r="H4" s="20">
        <v>1</v>
      </c>
      <c r="I4" s="21">
        <v>1</v>
      </c>
      <c r="J4" s="22">
        <v>2.56</v>
      </c>
      <c r="K4" s="22">
        <v>2.67</v>
      </c>
      <c r="L4" s="22">
        <v>3.02</v>
      </c>
      <c r="M4" s="22">
        <v>3.33</v>
      </c>
      <c r="N4" s="22">
        <v>3.67</v>
      </c>
      <c r="O4" s="22">
        <v>3.82</v>
      </c>
      <c r="P4" s="23">
        <v>85</v>
      </c>
      <c r="Q4" s="23">
        <v>0</v>
      </c>
      <c r="R4" s="24">
        <v>85</v>
      </c>
      <c r="S4" s="24">
        <v>85</v>
      </c>
      <c r="T4" s="24">
        <v>85</v>
      </c>
      <c r="U4" s="24">
        <v>85</v>
      </c>
      <c r="V4" s="24">
        <v>85</v>
      </c>
      <c r="W4" s="24">
        <v>85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  <c r="AI4" s="26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8">
        <v>2468.4</v>
      </c>
      <c r="AQ4" s="28">
        <v>2583.15</v>
      </c>
      <c r="AR4" s="28">
        <v>2560.1999999999998</v>
      </c>
      <c r="AS4" s="28">
        <v>2583.15</v>
      </c>
      <c r="AT4" s="28">
        <v>2565.3000000000002</v>
      </c>
      <c r="AU4" s="28">
        <v>2575.5</v>
      </c>
      <c r="AV4" s="29">
        <v>2904</v>
      </c>
      <c r="AW4" s="29">
        <v>3039</v>
      </c>
      <c r="AX4" s="29">
        <v>3012</v>
      </c>
      <c r="AY4" s="29">
        <v>3039</v>
      </c>
      <c r="AZ4" s="29">
        <v>3018</v>
      </c>
      <c r="BA4" s="29">
        <v>3030</v>
      </c>
      <c r="BB4" s="30">
        <v>0</v>
      </c>
      <c r="BC4" s="30">
        <v>0</v>
      </c>
      <c r="BD4" s="30">
        <v>0</v>
      </c>
      <c r="BE4" s="30">
        <v>0</v>
      </c>
      <c r="BF4" s="30">
        <v>0</v>
      </c>
      <c r="BG4" s="30">
        <v>0</v>
      </c>
    </row>
    <row r="5" spans="1:59" ht="15.75" thickBot="1" x14ac:dyDescent="0.3">
      <c r="A5" s="19" t="s">
        <v>576</v>
      </c>
      <c r="B5" s="19" t="s">
        <v>522</v>
      </c>
      <c r="C5" s="20">
        <v>1</v>
      </c>
      <c r="D5" s="20">
        <v>1</v>
      </c>
      <c r="E5" s="20">
        <v>1</v>
      </c>
      <c r="F5" s="20">
        <v>1</v>
      </c>
      <c r="G5" s="20">
        <v>1</v>
      </c>
      <c r="H5" s="20">
        <v>1</v>
      </c>
      <c r="I5" s="21">
        <v>1</v>
      </c>
      <c r="J5" s="22">
        <v>2.56</v>
      </c>
      <c r="K5" s="22">
        <v>2.67</v>
      </c>
      <c r="L5" s="22">
        <v>3.02</v>
      </c>
      <c r="M5" s="22">
        <v>3.33</v>
      </c>
      <c r="N5" s="22">
        <v>3.67</v>
      </c>
      <c r="O5" s="22">
        <v>3.82</v>
      </c>
      <c r="P5" s="23">
        <v>85</v>
      </c>
      <c r="Q5" s="23">
        <v>0</v>
      </c>
      <c r="R5" s="24">
        <v>85</v>
      </c>
      <c r="S5" s="24">
        <v>85</v>
      </c>
      <c r="T5" s="24">
        <v>85</v>
      </c>
      <c r="U5" s="24">
        <v>85</v>
      </c>
      <c r="V5" s="24">
        <v>85</v>
      </c>
      <c r="W5" s="24">
        <v>85</v>
      </c>
      <c r="X5" s="25">
        <v>1.37</v>
      </c>
      <c r="Y5" s="25">
        <v>1.59</v>
      </c>
      <c r="Z5" s="25">
        <v>1.58</v>
      </c>
      <c r="AA5" s="25">
        <v>1.55</v>
      </c>
      <c r="AB5" s="25">
        <v>1.53</v>
      </c>
      <c r="AC5" s="25">
        <v>1.5</v>
      </c>
      <c r="AD5" s="26">
        <v>1.1599999999999999</v>
      </c>
      <c r="AE5" s="26">
        <v>1.35</v>
      </c>
      <c r="AF5" s="26">
        <v>1.35</v>
      </c>
      <c r="AG5" s="26">
        <v>1.31</v>
      </c>
      <c r="AH5" s="26">
        <v>1.3</v>
      </c>
      <c r="AI5" s="26">
        <v>1.28</v>
      </c>
      <c r="AJ5" s="27">
        <v>33.799999999999997</v>
      </c>
      <c r="AK5" s="27">
        <v>41.16</v>
      </c>
      <c r="AL5" s="27">
        <v>40.54</v>
      </c>
      <c r="AM5" s="27">
        <v>39.909999999999997</v>
      </c>
      <c r="AN5" s="27">
        <v>39.28</v>
      </c>
      <c r="AO5" s="27">
        <v>38.659999999999997</v>
      </c>
      <c r="AP5" s="28">
        <v>2468.4</v>
      </c>
      <c r="AQ5" s="28">
        <v>2583.15</v>
      </c>
      <c r="AR5" s="28">
        <v>2560.1999999999998</v>
      </c>
      <c r="AS5" s="28">
        <v>2583.15</v>
      </c>
      <c r="AT5" s="28">
        <v>2565.3000000000002</v>
      </c>
      <c r="AU5" s="28">
        <v>2575.5</v>
      </c>
      <c r="AV5" s="29">
        <v>2904</v>
      </c>
      <c r="AW5" s="29">
        <v>3039</v>
      </c>
      <c r="AX5" s="29">
        <v>3012</v>
      </c>
      <c r="AY5" s="29">
        <v>3039</v>
      </c>
      <c r="AZ5" s="29">
        <v>3018</v>
      </c>
      <c r="BA5" s="29">
        <v>3030</v>
      </c>
      <c r="BB5" s="30">
        <v>642360</v>
      </c>
      <c r="BC5" s="30">
        <v>794257</v>
      </c>
      <c r="BD5" s="30">
        <v>794257</v>
      </c>
      <c r="BE5" s="30">
        <v>794257</v>
      </c>
      <c r="BF5" s="30">
        <v>794257</v>
      </c>
      <c r="BG5" s="30">
        <v>794257</v>
      </c>
    </row>
    <row r="6" spans="1:59" ht="15.75" thickBot="1" x14ac:dyDescent="0.3">
      <c r="A6" s="19" t="s">
        <v>577</v>
      </c>
      <c r="B6" s="19" t="s">
        <v>578</v>
      </c>
      <c r="C6" s="20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1">
        <v>1</v>
      </c>
      <c r="J6" s="22">
        <v>2.56</v>
      </c>
      <c r="K6" s="22">
        <v>2.67</v>
      </c>
      <c r="L6" s="22">
        <v>3.02</v>
      </c>
      <c r="M6" s="22">
        <v>3.33</v>
      </c>
      <c r="N6" s="22">
        <v>3.67</v>
      </c>
      <c r="O6" s="22">
        <v>3.82</v>
      </c>
      <c r="P6" s="23">
        <v>85</v>
      </c>
      <c r="Q6" s="23">
        <v>0</v>
      </c>
      <c r="R6" s="24">
        <v>85</v>
      </c>
      <c r="S6" s="24">
        <v>85</v>
      </c>
      <c r="T6" s="24">
        <v>85</v>
      </c>
      <c r="U6" s="24">
        <v>85</v>
      </c>
      <c r="V6" s="24">
        <v>85</v>
      </c>
      <c r="W6" s="24">
        <v>85</v>
      </c>
      <c r="X6" s="25">
        <v>0.13</v>
      </c>
      <c r="Y6" s="25">
        <v>0</v>
      </c>
      <c r="Z6" s="25">
        <v>0</v>
      </c>
      <c r="AA6" s="25">
        <v>0</v>
      </c>
      <c r="AB6" s="25">
        <v>0</v>
      </c>
      <c r="AC6" s="25">
        <v>0</v>
      </c>
      <c r="AD6" s="26">
        <v>0.11</v>
      </c>
      <c r="AE6" s="26">
        <v>0</v>
      </c>
      <c r="AF6" s="26">
        <v>0</v>
      </c>
      <c r="AG6" s="26">
        <v>0</v>
      </c>
      <c r="AH6" s="26">
        <v>0</v>
      </c>
      <c r="AI6" s="26">
        <v>0</v>
      </c>
      <c r="AJ6" s="27">
        <v>3.24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8">
        <v>2468.4</v>
      </c>
      <c r="AQ6" s="28">
        <v>2583.15</v>
      </c>
      <c r="AR6" s="28">
        <v>2560.1999999999998</v>
      </c>
      <c r="AS6" s="28">
        <v>2583.15</v>
      </c>
      <c r="AT6" s="28">
        <v>2565.3000000000002</v>
      </c>
      <c r="AU6" s="28">
        <v>2575.5</v>
      </c>
      <c r="AV6" s="29">
        <v>2904</v>
      </c>
      <c r="AW6" s="29">
        <v>3039</v>
      </c>
      <c r="AX6" s="29">
        <v>3012</v>
      </c>
      <c r="AY6" s="29">
        <v>3039</v>
      </c>
      <c r="AZ6" s="29">
        <v>3018</v>
      </c>
      <c r="BA6" s="29">
        <v>3030</v>
      </c>
      <c r="BB6" s="30">
        <v>15000</v>
      </c>
      <c r="BC6" s="30">
        <v>0</v>
      </c>
      <c r="BD6" s="30">
        <v>0</v>
      </c>
      <c r="BE6" s="30">
        <v>0</v>
      </c>
      <c r="BF6" s="30">
        <v>0</v>
      </c>
      <c r="BG6" s="30">
        <v>0</v>
      </c>
    </row>
    <row r="7" spans="1:59" ht="15.75" thickBot="1" x14ac:dyDescent="0.3">
      <c r="A7" s="19" t="s">
        <v>579</v>
      </c>
      <c r="B7" s="19" t="s">
        <v>580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1">
        <v>1</v>
      </c>
      <c r="J7" s="22">
        <v>2.56</v>
      </c>
      <c r="K7" s="22">
        <v>2.67</v>
      </c>
      <c r="L7" s="22">
        <v>3.02</v>
      </c>
      <c r="M7" s="22">
        <v>3.33</v>
      </c>
      <c r="N7" s="22">
        <v>3.67</v>
      </c>
      <c r="O7" s="22">
        <v>3.82</v>
      </c>
      <c r="P7" s="23">
        <v>85</v>
      </c>
      <c r="Q7" s="23">
        <v>0</v>
      </c>
      <c r="R7" s="24">
        <v>85</v>
      </c>
      <c r="S7" s="24">
        <v>85</v>
      </c>
      <c r="T7" s="24">
        <v>85</v>
      </c>
      <c r="U7" s="24">
        <v>85</v>
      </c>
      <c r="V7" s="24">
        <v>85</v>
      </c>
      <c r="W7" s="24">
        <v>85</v>
      </c>
      <c r="X7" s="25">
        <v>7.0000000000000007E-2</v>
      </c>
      <c r="Y7" s="25">
        <v>0.65</v>
      </c>
      <c r="Z7" s="25">
        <v>0.55000000000000004</v>
      </c>
      <c r="AA7" s="25">
        <v>0.44</v>
      </c>
      <c r="AB7" s="25">
        <v>0.34</v>
      </c>
      <c r="AC7" s="25">
        <v>0.28000000000000003</v>
      </c>
      <c r="AD7" s="26">
        <v>0.06</v>
      </c>
      <c r="AE7" s="26">
        <v>0.55000000000000004</v>
      </c>
      <c r="AF7" s="26">
        <v>0.47</v>
      </c>
      <c r="AG7" s="26">
        <v>0.37</v>
      </c>
      <c r="AH7" s="26">
        <v>0.28999999999999998</v>
      </c>
      <c r="AI7" s="26">
        <v>0.24</v>
      </c>
      <c r="AJ7" s="27">
        <v>1.75</v>
      </c>
      <c r="AK7" s="27">
        <v>16.829999999999998</v>
      </c>
      <c r="AL7" s="27">
        <v>14.02</v>
      </c>
      <c r="AM7" s="27">
        <v>11.3</v>
      </c>
      <c r="AN7" s="27">
        <v>8.65</v>
      </c>
      <c r="AO7" s="27">
        <v>7.29</v>
      </c>
      <c r="AP7" s="28">
        <v>2468.4</v>
      </c>
      <c r="AQ7" s="28">
        <v>2583.15</v>
      </c>
      <c r="AR7" s="28">
        <v>2560.1999999999998</v>
      </c>
      <c r="AS7" s="28">
        <v>2583.15</v>
      </c>
      <c r="AT7" s="28">
        <v>2565.3000000000002</v>
      </c>
      <c r="AU7" s="28">
        <v>2575.5</v>
      </c>
      <c r="AV7" s="29">
        <v>2904</v>
      </c>
      <c r="AW7" s="29">
        <v>3039</v>
      </c>
      <c r="AX7" s="29">
        <v>3012</v>
      </c>
      <c r="AY7" s="29">
        <v>3039</v>
      </c>
      <c r="AZ7" s="29">
        <v>3018</v>
      </c>
      <c r="BA7" s="29">
        <v>3030</v>
      </c>
      <c r="BB7" s="30">
        <v>15000</v>
      </c>
      <c r="BC7" s="30">
        <v>146814</v>
      </c>
      <c r="BD7" s="30">
        <v>124227</v>
      </c>
      <c r="BE7" s="30">
        <v>101641</v>
      </c>
      <c r="BF7" s="30">
        <v>79054</v>
      </c>
      <c r="BG7" s="30">
        <v>67760</v>
      </c>
    </row>
    <row r="8" spans="1:59" ht="15.75" thickBot="1" x14ac:dyDescent="0.3">
      <c r="A8" s="19" t="s">
        <v>581</v>
      </c>
      <c r="B8" s="19" t="s">
        <v>582</v>
      </c>
      <c r="C8" s="20">
        <v>1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1">
        <v>1</v>
      </c>
      <c r="J8" s="22">
        <v>2.56</v>
      </c>
      <c r="K8" s="22">
        <v>2.67</v>
      </c>
      <c r="L8" s="22">
        <v>3.02</v>
      </c>
      <c r="M8" s="22">
        <v>3.33</v>
      </c>
      <c r="N8" s="22">
        <v>3.67</v>
      </c>
      <c r="O8" s="22">
        <v>3.82</v>
      </c>
      <c r="P8" s="23">
        <v>85</v>
      </c>
      <c r="Q8" s="23">
        <v>0</v>
      </c>
      <c r="R8" s="24">
        <v>85</v>
      </c>
      <c r="S8" s="24">
        <v>85</v>
      </c>
      <c r="T8" s="24">
        <v>85</v>
      </c>
      <c r="U8" s="24">
        <v>85</v>
      </c>
      <c r="V8" s="24">
        <v>85</v>
      </c>
      <c r="W8" s="24">
        <v>85</v>
      </c>
      <c r="X8" s="25">
        <v>7.0000000000000007E-2</v>
      </c>
      <c r="Y8" s="25">
        <v>0</v>
      </c>
      <c r="Z8" s="25">
        <v>0</v>
      </c>
      <c r="AA8" s="25">
        <v>0</v>
      </c>
      <c r="AB8" s="25">
        <v>0</v>
      </c>
      <c r="AC8" s="25">
        <v>0</v>
      </c>
      <c r="AD8" s="26">
        <v>0.06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7">
        <v>1.75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8">
        <v>2468.4</v>
      </c>
      <c r="AQ8" s="28">
        <v>2583.15</v>
      </c>
      <c r="AR8" s="28">
        <v>2560.1999999999998</v>
      </c>
      <c r="AS8" s="28">
        <v>2583.15</v>
      </c>
      <c r="AT8" s="28">
        <v>2565.3000000000002</v>
      </c>
      <c r="AU8" s="28">
        <v>2575.5</v>
      </c>
      <c r="AV8" s="29">
        <v>2904</v>
      </c>
      <c r="AW8" s="29">
        <v>3039</v>
      </c>
      <c r="AX8" s="29">
        <v>3012</v>
      </c>
      <c r="AY8" s="29">
        <v>3039</v>
      </c>
      <c r="AZ8" s="29">
        <v>3018</v>
      </c>
      <c r="BA8" s="29">
        <v>3030</v>
      </c>
      <c r="BB8" s="30">
        <v>15000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</row>
    <row r="9" spans="1:59" ht="15.75" thickBot="1" x14ac:dyDescent="0.3">
      <c r="A9" s="19" t="s">
        <v>286</v>
      </c>
      <c r="B9" s="19" t="s">
        <v>287</v>
      </c>
      <c r="C9" s="20">
        <v>1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1">
        <v>1</v>
      </c>
      <c r="J9" s="22">
        <v>2.56</v>
      </c>
      <c r="K9" s="22">
        <v>2.67</v>
      </c>
      <c r="L9" s="22">
        <v>3.02</v>
      </c>
      <c r="M9" s="22">
        <v>3.33</v>
      </c>
      <c r="N9" s="22">
        <v>3.67</v>
      </c>
      <c r="O9" s="22">
        <v>3.82</v>
      </c>
      <c r="P9" s="23">
        <v>85</v>
      </c>
      <c r="Q9" s="23">
        <v>0</v>
      </c>
      <c r="R9" s="24">
        <v>85</v>
      </c>
      <c r="S9" s="24">
        <v>85</v>
      </c>
      <c r="T9" s="24">
        <v>85</v>
      </c>
      <c r="U9" s="24">
        <v>85</v>
      </c>
      <c r="V9" s="24">
        <v>85</v>
      </c>
      <c r="W9" s="24">
        <v>85</v>
      </c>
      <c r="X9" s="25">
        <v>0.16</v>
      </c>
      <c r="Y9" s="25">
        <v>0.06</v>
      </c>
      <c r="Z9" s="25">
        <v>0.06</v>
      </c>
      <c r="AA9" s="25">
        <v>0.05</v>
      </c>
      <c r="AB9" s="25">
        <v>0.05</v>
      </c>
      <c r="AC9" s="25">
        <v>0.05</v>
      </c>
      <c r="AD9" s="26">
        <v>0.13</v>
      </c>
      <c r="AE9" s="26">
        <v>0.05</v>
      </c>
      <c r="AF9" s="26">
        <v>0.05</v>
      </c>
      <c r="AG9" s="26">
        <v>0.05</v>
      </c>
      <c r="AH9" s="26">
        <v>0.05</v>
      </c>
      <c r="AI9" s="26">
        <v>0.05</v>
      </c>
      <c r="AJ9" s="27">
        <v>3.92</v>
      </c>
      <c r="AK9" s="27">
        <v>1.46</v>
      </c>
      <c r="AL9" s="27">
        <v>1.44</v>
      </c>
      <c r="AM9" s="27">
        <v>1.42</v>
      </c>
      <c r="AN9" s="27">
        <v>1.4</v>
      </c>
      <c r="AO9" s="27">
        <v>1.37</v>
      </c>
      <c r="AP9" s="28">
        <v>2468.4</v>
      </c>
      <c r="AQ9" s="28">
        <v>2583.15</v>
      </c>
      <c r="AR9" s="28">
        <v>2560.1999999999998</v>
      </c>
      <c r="AS9" s="28">
        <v>2583.15</v>
      </c>
      <c r="AT9" s="28">
        <v>2565.3000000000002</v>
      </c>
      <c r="AU9" s="28">
        <v>2575.5</v>
      </c>
      <c r="AV9" s="29">
        <v>2904</v>
      </c>
      <c r="AW9" s="29">
        <v>3039</v>
      </c>
      <c r="AX9" s="29">
        <v>3012</v>
      </c>
      <c r="AY9" s="29">
        <v>3039</v>
      </c>
      <c r="AZ9" s="29">
        <v>3018</v>
      </c>
      <c r="BA9" s="29">
        <v>3030</v>
      </c>
      <c r="BB9" s="30">
        <v>2000</v>
      </c>
      <c r="BC9" s="30">
        <v>757</v>
      </c>
      <c r="BD9" s="30">
        <v>757</v>
      </c>
      <c r="BE9" s="30">
        <v>757</v>
      </c>
      <c r="BF9" s="30">
        <v>757</v>
      </c>
      <c r="BG9" s="30">
        <v>757</v>
      </c>
    </row>
    <row r="10" spans="1:59" ht="15.75" thickBot="1" x14ac:dyDescent="0.3">
      <c r="A10" s="19" t="s">
        <v>583</v>
      </c>
      <c r="B10" s="19" t="s">
        <v>523</v>
      </c>
      <c r="C10" s="20">
        <v>1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1">
        <v>1</v>
      </c>
      <c r="J10" s="22">
        <v>2.56</v>
      </c>
      <c r="K10" s="22">
        <v>2.67</v>
      </c>
      <c r="L10" s="22">
        <v>3.02</v>
      </c>
      <c r="M10" s="22">
        <v>3.33</v>
      </c>
      <c r="N10" s="22">
        <v>3.67</v>
      </c>
      <c r="O10" s="22">
        <v>3.82</v>
      </c>
      <c r="P10" s="23">
        <v>85</v>
      </c>
      <c r="Q10" s="23">
        <v>0</v>
      </c>
      <c r="R10" s="24">
        <v>85</v>
      </c>
      <c r="S10" s="24">
        <v>85</v>
      </c>
      <c r="T10" s="24">
        <v>85</v>
      </c>
      <c r="U10" s="24">
        <v>85</v>
      </c>
      <c r="V10" s="24">
        <v>85</v>
      </c>
      <c r="W10" s="24">
        <v>85</v>
      </c>
      <c r="X10" s="25">
        <v>0.38</v>
      </c>
      <c r="Y10" s="25">
        <v>0.36</v>
      </c>
      <c r="Z10" s="25">
        <v>0.36</v>
      </c>
      <c r="AA10" s="25">
        <v>0.35</v>
      </c>
      <c r="AB10" s="25">
        <v>0.35</v>
      </c>
      <c r="AC10" s="25">
        <v>0.34</v>
      </c>
      <c r="AD10" s="26">
        <v>0.32</v>
      </c>
      <c r="AE10" s="26">
        <v>0.31</v>
      </c>
      <c r="AF10" s="26">
        <v>0.3</v>
      </c>
      <c r="AG10" s="26">
        <v>0.3</v>
      </c>
      <c r="AH10" s="26">
        <v>0.28999999999999998</v>
      </c>
      <c r="AI10" s="26">
        <v>0.28999999999999998</v>
      </c>
      <c r="AJ10" s="27">
        <v>9.32</v>
      </c>
      <c r="AK10" s="27">
        <v>9.31</v>
      </c>
      <c r="AL10" s="27">
        <v>9.17</v>
      </c>
      <c r="AM10" s="27">
        <v>9.0299999999999994</v>
      </c>
      <c r="AN10" s="27">
        <v>8.8800000000000008</v>
      </c>
      <c r="AO10" s="27">
        <v>8.74</v>
      </c>
      <c r="AP10" s="28">
        <v>2468.4</v>
      </c>
      <c r="AQ10" s="28">
        <v>2583.15</v>
      </c>
      <c r="AR10" s="28">
        <v>2560.1999999999998</v>
      </c>
      <c r="AS10" s="28">
        <v>2583.15</v>
      </c>
      <c r="AT10" s="28">
        <v>2565.3000000000002</v>
      </c>
      <c r="AU10" s="28">
        <v>2575.5</v>
      </c>
      <c r="AV10" s="29">
        <v>2904</v>
      </c>
      <c r="AW10" s="29">
        <v>3039</v>
      </c>
      <c r="AX10" s="29">
        <v>3012</v>
      </c>
      <c r="AY10" s="29">
        <v>3039</v>
      </c>
      <c r="AZ10" s="29">
        <v>3018</v>
      </c>
      <c r="BA10" s="29">
        <v>3030</v>
      </c>
      <c r="BB10" s="30">
        <v>104719</v>
      </c>
      <c r="BC10" s="30">
        <v>106199</v>
      </c>
      <c r="BD10" s="30">
        <v>106199</v>
      </c>
      <c r="BE10" s="30">
        <v>106199</v>
      </c>
      <c r="BF10" s="30">
        <v>106199</v>
      </c>
      <c r="BG10" s="30">
        <v>106199</v>
      </c>
    </row>
    <row r="11" spans="1:59" ht="15.75" thickBot="1" x14ac:dyDescent="0.3">
      <c r="A11" s="19" t="s">
        <v>584</v>
      </c>
      <c r="B11" s="19" t="s">
        <v>524</v>
      </c>
      <c r="C11" s="20">
        <v>1</v>
      </c>
      <c r="D11" s="20">
        <v>1</v>
      </c>
      <c r="E11" s="20">
        <v>1</v>
      </c>
      <c r="F11" s="20">
        <v>1</v>
      </c>
      <c r="G11" s="20">
        <v>1</v>
      </c>
      <c r="H11" s="20">
        <v>1</v>
      </c>
      <c r="I11" s="21">
        <v>1</v>
      </c>
      <c r="J11" s="22">
        <v>2.56</v>
      </c>
      <c r="K11" s="22">
        <v>2.67</v>
      </c>
      <c r="L11" s="22">
        <v>3.02</v>
      </c>
      <c r="M11" s="22">
        <v>3.33</v>
      </c>
      <c r="N11" s="22">
        <v>3.67</v>
      </c>
      <c r="O11" s="22">
        <v>3.82</v>
      </c>
      <c r="P11" s="23">
        <v>85</v>
      </c>
      <c r="Q11" s="23">
        <v>0</v>
      </c>
      <c r="R11" s="24">
        <v>85</v>
      </c>
      <c r="S11" s="24">
        <v>85</v>
      </c>
      <c r="T11" s="24">
        <v>85</v>
      </c>
      <c r="U11" s="24">
        <v>85</v>
      </c>
      <c r="V11" s="24">
        <v>85</v>
      </c>
      <c r="W11" s="24">
        <v>85</v>
      </c>
      <c r="X11" s="25">
        <v>0</v>
      </c>
      <c r="Y11" s="25">
        <v>0.25</v>
      </c>
      <c r="Z11" s="25">
        <v>0.25</v>
      </c>
      <c r="AA11" s="25">
        <v>0.24</v>
      </c>
      <c r="AB11" s="25">
        <v>0.24</v>
      </c>
      <c r="AC11" s="25">
        <v>0.24</v>
      </c>
      <c r="AD11" s="26">
        <v>0</v>
      </c>
      <c r="AE11" s="26">
        <v>0.21</v>
      </c>
      <c r="AF11" s="26">
        <v>0.21</v>
      </c>
      <c r="AG11" s="26">
        <v>0.21</v>
      </c>
      <c r="AH11" s="26">
        <v>0.2</v>
      </c>
      <c r="AI11" s="26">
        <v>0.2</v>
      </c>
      <c r="AJ11" s="27">
        <v>0</v>
      </c>
      <c r="AK11" s="27">
        <v>6.47</v>
      </c>
      <c r="AL11" s="27">
        <v>6.38</v>
      </c>
      <c r="AM11" s="27">
        <v>6.28</v>
      </c>
      <c r="AN11" s="27">
        <v>6.18</v>
      </c>
      <c r="AO11" s="27">
        <v>6.08</v>
      </c>
      <c r="AP11" s="28">
        <v>2468.4</v>
      </c>
      <c r="AQ11" s="28">
        <v>2583.15</v>
      </c>
      <c r="AR11" s="28">
        <v>2560.1999999999998</v>
      </c>
      <c r="AS11" s="28">
        <v>2583.15</v>
      </c>
      <c r="AT11" s="28">
        <v>2565.3000000000002</v>
      </c>
      <c r="AU11" s="28">
        <v>2575.5</v>
      </c>
      <c r="AV11" s="29">
        <v>2904</v>
      </c>
      <c r="AW11" s="29">
        <v>3039</v>
      </c>
      <c r="AX11" s="29">
        <v>3012</v>
      </c>
      <c r="AY11" s="29">
        <v>3039</v>
      </c>
      <c r="AZ11" s="29">
        <v>3018</v>
      </c>
      <c r="BA11" s="29">
        <v>3030</v>
      </c>
      <c r="BB11" s="30">
        <v>0</v>
      </c>
      <c r="BC11" s="30">
        <v>73849</v>
      </c>
      <c r="BD11" s="30">
        <v>73849</v>
      </c>
      <c r="BE11" s="30">
        <v>73849</v>
      </c>
      <c r="BF11" s="30">
        <v>73849</v>
      </c>
      <c r="BG11" s="30">
        <v>73849</v>
      </c>
    </row>
    <row r="12" spans="1:59" ht="15.75" thickBot="1" x14ac:dyDescent="0.3">
      <c r="A12" s="19" t="s">
        <v>585</v>
      </c>
      <c r="B12" s="19" t="s">
        <v>525</v>
      </c>
      <c r="C12" s="20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1">
        <v>1</v>
      </c>
      <c r="J12" s="22">
        <v>2.56</v>
      </c>
      <c r="K12" s="22">
        <v>2.67</v>
      </c>
      <c r="L12" s="22">
        <v>3.02</v>
      </c>
      <c r="M12" s="22">
        <v>3.33</v>
      </c>
      <c r="N12" s="22">
        <v>3.67</v>
      </c>
      <c r="O12" s="22">
        <v>3.82</v>
      </c>
      <c r="P12" s="23">
        <v>85</v>
      </c>
      <c r="Q12" s="23">
        <v>0</v>
      </c>
      <c r="R12" s="24">
        <v>85</v>
      </c>
      <c r="S12" s="24">
        <v>85</v>
      </c>
      <c r="T12" s="24">
        <v>85</v>
      </c>
      <c r="U12" s="24">
        <v>85</v>
      </c>
      <c r="V12" s="24">
        <v>85</v>
      </c>
      <c r="W12" s="24">
        <v>85</v>
      </c>
      <c r="X12" s="25">
        <v>0.61</v>
      </c>
      <c r="Y12" s="25">
        <v>1.47</v>
      </c>
      <c r="Z12" s="25">
        <v>1.46</v>
      </c>
      <c r="AA12" s="25">
        <v>1.42</v>
      </c>
      <c r="AB12" s="25">
        <v>1.41</v>
      </c>
      <c r="AC12" s="25">
        <v>1.38</v>
      </c>
      <c r="AD12" s="26">
        <v>0.52</v>
      </c>
      <c r="AE12" s="26">
        <v>1.25</v>
      </c>
      <c r="AF12" s="26">
        <v>1.24</v>
      </c>
      <c r="AG12" s="26">
        <v>1.21</v>
      </c>
      <c r="AH12" s="26">
        <v>1.2</v>
      </c>
      <c r="AI12" s="26">
        <v>1.17</v>
      </c>
      <c r="AJ12" s="27">
        <v>15.16</v>
      </c>
      <c r="AK12" s="27">
        <v>37.89</v>
      </c>
      <c r="AL12" s="27">
        <v>37.31</v>
      </c>
      <c r="AM12" s="27">
        <v>36.74</v>
      </c>
      <c r="AN12" s="27">
        <v>36.159999999999997</v>
      </c>
      <c r="AO12" s="27">
        <v>35.58</v>
      </c>
      <c r="AP12" s="28">
        <v>2468.4</v>
      </c>
      <c r="AQ12" s="28">
        <v>2583.15</v>
      </c>
      <c r="AR12" s="28">
        <v>2560.1999999999998</v>
      </c>
      <c r="AS12" s="28">
        <v>2583.15</v>
      </c>
      <c r="AT12" s="28">
        <v>2565.3000000000002</v>
      </c>
      <c r="AU12" s="28">
        <v>2575.5</v>
      </c>
      <c r="AV12" s="29">
        <v>2904</v>
      </c>
      <c r="AW12" s="29">
        <v>3039</v>
      </c>
      <c r="AX12" s="29">
        <v>3012</v>
      </c>
      <c r="AY12" s="29">
        <v>3039</v>
      </c>
      <c r="AZ12" s="29">
        <v>3018</v>
      </c>
      <c r="BA12" s="29">
        <v>3030</v>
      </c>
      <c r="BB12" s="30">
        <v>144018</v>
      </c>
      <c r="BC12" s="30">
        <v>365426</v>
      </c>
      <c r="BD12" s="30">
        <v>365426</v>
      </c>
      <c r="BE12" s="30">
        <v>365426</v>
      </c>
      <c r="BF12" s="30">
        <v>365426</v>
      </c>
      <c r="BG12" s="30">
        <v>365426</v>
      </c>
    </row>
    <row r="13" spans="1:59" ht="15.75" thickBot="1" x14ac:dyDescent="0.3">
      <c r="A13" s="19" t="s">
        <v>586</v>
      </c>
      <c r="B13" s="19" t="s">
        <v>587</v>
      </c>
      <c r="C13" s="20">
        <v>1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1">
        <v>1</v>
      </c>
      <c r="J13" s="22">
        <v>2.56</v>
      </c>
      <c r="K13" s="22">
        <v>2.67</v>
      </c>
      <c r="L13" s="22">
        <v>3.02</v>
      </c>
      <c r="M13" s="22">
        <v>3.33</v>
      </c>
      <c r="N13" s="22">
        <v>3.67</v>
      </c>
      <c r="O13" s="22">
        <v>3.82</v>
      </c>
      <c r="P13" s="23">
        <v>85</v>
      </c>
      <c r="Q13" s="23">
        <v>0</v>
      </c>
      <c r="R13" s="24">
        <v>85</v>
      </c>
      <c r="S13" s="24">
        <v>85</v>
      </c>
      <c r="T13" s="24">
        <v>85</v>
      </c>
      <c r="U13" s="24">
        <v>85</v>
      </c>
      <c r="V13" s="24">
        <v>85</v>
      </c>
      <c r="W13" s="24">
        <v>85</v>
      </c>
      <c r="X13" s="25">
        <v>2.38</v>
      </c>
      <c r="Y13" s="25">
        <v>0.47</v>
      </c>
      <c r="Z13" s="25">
        <v>0.4</v>
      </c>
      <c r="AA13" s="25">
        <v>0.32</v>
      </c>
      <c r="AB13" s="25">
        <v>0.24</v>
      </c>
      <c r="AC13" s="25">
        <v>0.2</v>
      </c>
      <c r="AD13" s="26">
        <v>2.0299999999999998</v>
      </c>
      <c r="AE13" s="26">
        <v>0.4</v>
      </c>
      <c r="AF13" s="26">
        <v>0.34</v>
      </c>
      <c r="AG13" s="26">
        <v>0.27</v>
      </c>
      <c r="AH13" s="26">
        <v>0.21</v>
      </c>
      <c r="AI13" s="26">
        <v>0.17</v>
      </c>
      <c r="AJ13" s="27">
        <v>58.83</v>
      </c>
      <c r="AK13" s="27">
        <v>12.15</v>
      </c>
      <c r="AL13" s="27">
        <v>10.119999999999999</v>
      </c>
      <c r="AM13" s="27">
        <v>8.15</v>
      </c>
      <c r="AN13" s="27">
        <v>6.24</v>
      </c>
      <c r="AO13" s="27">
        <v>5.26</v>
      </c>
      <c r="AP13" s="28">
        <v>2468.4</v>
      </c>
      <c r="AQ13" s="28">
        <v>2583.15</v>
      </c>
      <c r="AR13" s="28">
        <v>2560.1999999999998</v>
      </c>
      <c r="AS13" s="28">
        <v>2583.15</v>
      </c>
      <c r="AT13" s="28">
        <v>2565.3000000000002</v>
      </c>
      <c r="AU13" s="28">
        <v>2575.5</v>
      </c>
      <c r="AV13" s="29">
        <v>2904</v>
      </c>
      <c r="AW13" s="29">
        <v>3039</v>
      </c>
      <c r="AX13" s="29">
        <v>3012</v>
      </c>
      <c r="AY13" s="29">
        <v>3039</v>
      </c>
      <c r="AZ13" s="29">
        <v>3018</v>
      </c>
      <c r="BA13" s="29">
        <v>3030</v>
      </c>
      <c r="BB13" s="30">
        <v>505524</v>
      </c>
      <c r="BC13" s="30">
        <v>105960</v>
      </c>
      <c r="BD13" s="30">
        <v>89659</v>
      </c>
      <c r="BE13" s="30">
        <v>73357</v>
      </c>
      <c r="BF13" s="30">
        <v>57056</v>
      </c>
      <c r="BG13" s="30">
        <v>48905</v>
      </c>
    </row>
    <row r="14" spans="1:59" ht="15.75" thickBot="1" x14ac:dyDescent="0.3">
      <c r="A14" s="19" t="s">
        <v>588</v>
      </c>
      <c r="B14" s="19" t="s">
        <v>589</v>
      </c>
      <c r="C14" s="20">
        <v>1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1">
        <v>1</v>
      </c>
      <c r="J14" s="22">
        <v>2.56</v>
      </c>
      <c r="K14" s="22">
        <v>2.67</v>
      </c>
      <c r="L14" s="22">
        <v>3.02</v>
      </c>
      <c r="M14" s="22">
        <v>3.33</v>
      </c>
      <c r="N14" s="22">
        <v>3.67</v>
      </c>
      <c r="O14" s="22">
        <v>3.82</v>
      </c>
      <c r="P14" s="23">
        <v>85</v>
      </c>
      <c r="Q14" s="23">
        <v>0</v>
      </c>
      <c r="R14" s="24">
        <v>85</v>
      </c>
      <c r="S14" s="24">
        <v>85</v>
      </c>
      <c r="T14" s="24">
        <v>85</v>
      </c>
      <c r="U14" s="24">
        <v>85</v>
      </c>
      <c r="V14" s="24">
        <v>85</v>
      </c>
      <c r="W14" s="24">
        <v>85</v>
      </c>
      <c r="X14" s="25">
        <v>7.0000000000000007E-2</v>
      </c>
      <c r="Y14" s="25">
        <v>0.08</v>
      </c>
      <c r="Z14" s="25">
        <v>7.0000000000000007E-2</v>
      </c>
      <c r="AA14" s="25">
        <v>0.05</v>
      </c>
      <c r="AB14" s="25">
        <v>0.04</v>
      </c>
      <c r="AC14" s="25">
        <v>0.03</v>
      </c>
      <c r="AD14" s="26">
        <v>0.06</v>
      </c>
      <c r="AE14" s="26">
        <v>7.0000000000000007E-2</v>
      </c>
      <c r="AF14" s="26">
        <v>0.06</v>
      </c>
      <c r="AG14" s="26">
        <v>0.04</v>
      </c>
      <c r="AH14" s="26">
        <v>0.03</v>
      </c>
      <c r="AI14" s="26">
        <v>0.03</v>
      </c>
      <c r="AJ14" s="27">
        <v>1.75</v>
      </c>
      <c r="AK14" s="27">
        <v>2.02</v>
      </c>
      <c r="AL14" s="27">
        <v>1.69</v>
      </c>
      <c r="AM14" s="27">
        <v>1.36</v>
      </c>
      <c r="AN14" s="27">
        <v>1.04</v>
      </c>
      <c r="AO14" s="27">
        <v>0.88</v>
      </c>
      <c r="AP14" s="28">
        <v>2468.4</v>
      </c>
      <c r="AQ14" s="28">
        <v>2583.15</v>
      </c>
      <c r="AR14" s="28">
        <v>2560.1999999999998</v>
      </c>
      <c r="AS14" s="28">
        <v>2583.15</v>
      </c>
      <c r="AT14" s="28">
        <v>2565.3000000000002</v>
      </c>
      <c r="AU14" s="28">
        <v>2575.5</v>
      </c>
      <c r="AV14" s="29">
        <v>2904</v>
      </c>
      <c r="AW14" s="29">
        <v>3039</v>
      </c>
      <c r="AX14" s="29">
        <v>3012</v>
      </c>
      <c r="AY14" s="29">
        <v>3039</v>
      </c>
      <c r="AZ14" s="29">
        <v>3018</v>
      </c>
      <c r="BA14" s="29">
        <v>3030</v>
      </c>
      <c r="BB14" s="30">
        <v>15000</v>
      </c>
      <c r="BC14" s="30">
        <v>17644</v>
      </c>
      <c r="BD14" s="30">
        <v>14929</v>
      </c>
      <c r="BE14" s="30">
        <v>12215</v>
      </c>
      <c r="BF14" s="30">
        <v>9500</v>
      </c>
      <c r="BG14" s="30">
        <v>8143</v>
      </c>
    </row>
    <row r="15" spans="1:59" ht="15.75" thickBot="1" x14ac:dyDescent="0.3">
      <c r="A15" s="19" t="s">
        <v>590</v>
      </c>
      <c r="B15" s="19" t="s">
        <v>591</v>
      </c>
      <c r="C15" s="20">
        <v>1</v>
      </c>
      <c r="D15" s="20">
        <v>1</v>
      </c>
      <c r="E15" s="20">
        <v>1</v>
      </c>
      <c r="F15" s="20">
        <v>1</v>
      </c>
      <c r="G15" s="20">
        <v>1</v>
      </c>
      <c r="H15" s="20">
        <v>1</v>
      </c>
      <c r="I15" s="21">
        <v>1</v>
      </c>
      <c r="J15" s="22">
        <v>2.56</v>
      </c>
      <c r="K15" s="22">
        <v>2.67</v>
      </c>
      <c r="L15" s="22">
        <v>3.02</v>
      </c>
      <c r="M15" s="22">
        <v>3.33</v>
      </c>
      <c r="N15" s="22">
        <v>3.67</v>
      </c>
      <c r="O15" s="22">
        <v>3.82</v>
      </c>
      <c r="P15" s="23">
        <v>85</v>
      </c>
      <c r="Q15" s="23">
        <v>0</v>
      </c>
      <c r="R15" s="24">
        <v>85</v>
      </c>
      <c r="S15" s="24">
        <v>85</v>
      </c>
      <c r="T15" s="24">
        <v>85</v>
      </c>
      <c r="U15" s="24">
        <v>85</v>
      </c>
      <c r="V15" s="24">
        <v>85</v>
      </c>
      <c r="W15" s="24">
        <v>85</v>
      </c>
      <c r="X15" s="25">
        <v>0.4</v>
      </c>
      <c r="Y15" s="25">
        <v>0.54</v>
      </c>
      <c r="Z15" s="25">
        <v>0.46</v>
      </c>
      <c r="AA15" s="25">
        <v>0.37</v>
      </c>
      <c r="AB15" s="25">
        <v>0.28000000000000003</v>
      </c>
      <c r="AC15" s="25">
        <v>0.24</v>
      </c>
      <c r="AD15" s="26">
        <v>0.34</v>
      </c>
      <c r="AE15" s="26">
        <v>0.46</v>
      </c>
      <c r="AF15" s="26">
        <v>0.39</v>
      </c>
      <c r="AG15" s="26">
        <v>0.31</v>
      </c>
      <c r="AH15" s="26">
        <v>0.24</v>
      </c>
      <c r="AI15" s="26">
        <v>0.2</v>
      </c>
      <c r="AJ15" s="27">
        <v>9.81</v>
      </c>
      <c r="AK15" s="27">
        <v>14.07</v>
      </c>
      <c r="AL15" s="27">
        <v>11.72</v>
      </c>
      <c r="AM15" s="27">
        <v>9.44</v>
      </c>
      <c r="AN15" s="27">
        <v>7.23</v>
      </c>
      <c r="AO15" s="27">
        <v>6.1</v>
      </c>
      <c r="AP15" s="28">
        <v>2468.4</v>
      </c>
      <c r="AQ15" s="28">
        <v>2583.15</v>
      </c>
      <c r="AR15" s="28">
        <v>2560.1999999999998</v>
      </c>
      <c r="AS15" s="28">
        <v>2583.15</v>
      </c>
      <c r="AT15" s="28">
        <v>2565.3000000000002</v>
      </c>
      <c r="AU15" s="28">
        <v>2575.5</v>
      </c>
      <c r="AV15" s="29">
        <v>2904</v>
      </c>
      <c r="AW15" s="29">
        <v>3039</v>
      </c>
      <c r="AX15" s="29">
        <v>3012</v>
      </c>
      <c r="AY15" s="29">
        <v>3039</v>
      </c>
      <c r="AZ15" s="29">
        <v>3018</v>
      </c>
      <c r="BA15" s="29">
        <v>3030</v>
      </c>
      <c r="BB15" s="30">
        <v>77814</v>
      </c>
      <c r="BC15" s="30">
        <v>113274</v>
      </c>
      <c r="BD15" s="30">
        <v>95847</v>
      </c>
      <c r="BE15" s="30">
        <v>78420</v>
      </c>
      <c r="BF15" s="30">
        <v>60993</v>
      </c>
      <c r="BG15" s="30">
        <v>52280</v>
      </c>
    </row>
    <row r="16" spans="1:59" ht="15.75" thickBot="1" x14ac:dyDescent="0.3">
      <c r="A16" s="19" t="s">
        <v>592</v>
      </c>
      <c r="B16" s="19" t="s">
        <v>526</v>
      </c>
      <c r="C16" s="20">
        <v>1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1">
        <v>1</v>
      </c>
      <c r="J16" s="22">
        <v>2.56</v>
      </c>
      <c r="K16" s="22">
        <v>2.67</v>
      </c>
      <c r="L16" s="22">
        <v>3.02</v>
      </c>
      <c r="M16" s="22">
        <v>3.33</v>
      </c>
      <c r="N16" s="22">
        <v>3.67</v>
      </c>
      <c r="O16" s="22">
        <v>3.82</v>
      </c>
      <c r="P16" s="23">
        <v>85</v>
      </c>
      <c r="Q16" s="23">
        <v>0</v>
      </c>
      <c r="R16" s="24">
        <v>85</v>
      </c>
      <c r="S16" s="24">
        <v>85</v>
      </c>
      <c r="T16" s="24">
        <v>85</v>
      </c>
      <c r="U16" s="24">
        <v>85</v>
      </c>
      <c r="V16" s="24">
        <v>85</v>
      </c>
      <c r="W16" s="24">
        <v>85</v>
      </c>
      <c r="X16" s="25">
        <v>8.3000000000000007</v>
      </c>
      <c r="Y16" s="25">
        <v>11.22</v>
      </c>
      <c r="Z16" s="25">
        <v>11.7</v>
      </c>
      <c r="AA16" s="25">
        <v>11.99</v>
      </c>
      <c r="AB16" s="25">
        <v>12.48</v>
      </c>
      <c r="AC16" s="25">
        <v>12.84</v>
      </c>
      <c r="AD16" s="26">
        <v>7.05</v>
      </c>
      <c r="AE16" s="26">
        <v>9.5299999999999994</v>
      </c>
      <c r="AF16" s="26">
        <v>9.9499999999999993</v>
      </c>
      <c r="AG16" s="26">
        <v>10.19</v>
      </c>
      <c r="AH16" s="26">
        <v>10.6</v>
      </c>
      <c r="AI16" s="26">
        <v>10.91</v>
      </c>
      <c r="AJ16" s="27">
        <v>204.79</v>
      </c>
      <c r="AK16" s="27">
        <v>289.70999999999998</v>
      </c>
      <c r="AL16" s="27">
        <v>299.56</v>
      </c>
      <c r="AM16" s="27">
        <v>309.68</v>
      </c>
      <c r="AN16" s="27">
        <v>320.05</v>
      </c>
      <c r="AO16" s="27">
        <v>330.69</v>
      </c>
      <c r="AP16" s="28">
        <v>2468.4</v>
      </c>
      <c r="AQ16" s="28">
        <v>2583.15</v>
      </c>
      <c r="AR16" s="28">
        <v>2560.1999999999998</v>
      </c>
      <c r="AS16" s="28">
        <v>2583.15</v>
      </c>
      <c r="AT16" s="28">
        <v>2565.3000000000002</v>
      </c>
      <c r="AU16" s="28">
        <v>2575.5</v>
      </c>
      <c r="AV16" s="29">
        <v>2904</v>
      </c>
      <c r="AW16" s="29">
        <v>3039</v>
      </c>
      <c r="AX16" s="29">
        <v>3012</v>
      </c>
      <c r="AY16" s="29">
        <v>3039</v>
      </c>
      <c r="AZ16" s="29">
        <v>3018</v>
      </c>
      <c r="BA16" s="29">
        <v>3030</v>
      </c>
      <c r="BB16" s="30">
        <v>835542.52</v>
      </c>
      <c r="BC16" s="30">
        <v>1200000</v>
      </c>
      <c r="BD16" s="30">
        <v>1260000</v>
      </c>
      <c r="BE16" s="30">
        <v>1323000</v>
      </c>
      <c r="BF16" s="30">
        <v>1389150</v>
      </c>
      <c r="BG16" s="30">
        <v>1458608</v>
      </c>
    </row>
    <row r="17" spans="1:59" ht="15.75" thickBot="1" x14ac:dyDescent="0.3">
      <c r="A17" s="19" t="s">
        <v>593</v>
      </c>
      <c r="B17" s="19" t="s">
        <v>594</v>
      </c>
      <c r="C17" s="20">
        <v>1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1">
        <v>1</v>
      </c>
      <c r="J17" s="22">
        <v>2.56</v>
      </c>
      <c r="K17" s="22">
        <v>2.67</v>
      </c>
      <c r="L17" s="22">
        <v>3.02</v>
      </c>
      <c r="M17" s="22">
        <v>3.33</v>
      </c>
      <c r="N17" s="22">
        <v>3.67</v>
      </c>
      <c r="O17" s="22">
        <v>3.82</v>
      </c>
      <c r="P17" s="23">
        <v>85</v>
      </c>
      <c r="Q17" s="23">
        <v>0</v>
      </c>
      <c r="R17" s="24">
        <v>85</v>
      </c>
      <c r="S17" s="24">
        <v>85</v>
      </c>
      <c r="T17" s="24">
        <v>85</v>
      </c>
      <c r="U17" s="24">
        <v>85</v>
      </c>
      <c r="V17" s="24">
        <v>85</v>
      </c>
      <c r="W17" s="24">
        <v>85</v>
      </c>
      <c r="X17" s="25">
        <v>1.66</v>
      </c>
      <c r="Y17" s="25">
        <v>1.21</v>
      </c>
      <c r="Z17" s="25">
        <v>1.02</v>
      </c>
      <c r="AA17" s="25">
        <v>0.81</v>
      </c>
      <c r="AB17" s="25">
        <v>0.63</v>
      </c>
      <c r="AC17" s="25">
        <v>0.53</v>
      </c>
      <c r="AD17" s="26">
        <v>1.41</v>
      </c>
      <c r="AE17" s="26">
        <v>1.03</v>
      </c>
      <c r="AF17" s="26">
        <v>0.87</v>
      </c>
      <c r="AG17" s="26">
        <v>0.69</v>
      </c>
      <c r="AH17" s="26">
        <v>0.53</v>
      </c>
      <c r="AI17" s="26">
        <v>0.45</v>
      </c>
      <c r="AJ17" s="27">
        <v>41.05</v>
      </c>
      <c r="AK17" s="27">
        <v>31.33</v>
      </c>
      <c r="AL17" s="27">
        <v>26.1</v>
      </c>
      <c r="AM17" s="27">
        <v>21.03</v>
      </c>
      <c r="AN17" s="27">
        <v>16.100000000000001</v>
      </c>
      <c r="AO17" s="27">
        <v>13.58</v>
      </c>
      <c r="AP17" s="28">
        <v>2468.4</v>
      </c>
      <c r="AQ17" s="28">
        <v>2583.15</v>
      </c>
      <c r="AR17" s="28">
        <v>2560.1999999999998</v>
      </c>
      <c r="AS17" s="28">
        <v>2583.15</v>
      </c>
      <c r="AT17" s="28">
        <v>2565.3000000000002</v>
      </c>
      <c r="AU17" s="28">
        <v>2575.5</v>
      </c>
      <c r="AV17" s="29">
        <v>2904</v>
      </c>
      <c r="AW17" s="29">
        <v>3039</v>
      </c>
      <c r="AX17" s="29">
        <v>3012</v>
      </c>
      <c r="AY17" s="29">
        <v>3039</v>
      </c>
      <c r="AZ17" s="29">
        <v>3018</v>
      </c>
      <c r="BA17" s="29">
        <v>3030</v>
      </c>
      <c r="BB17" s="30">
        <v>352691</v>
      </c>
      <c r="BC17" s="30">
        <v>273254</v>
      </c>
      <c r="BD17" s="30">
        <v>231215</v>
      </c>
      <c r="BE17" s="30">
        <v>189176</v>
      </c>
      <c r="BF17" s="30">
        <v>147137</v>
      </c>
      <c r="BG17" s="30">
        <v>126117</v>
      </c>
    </row>
    <row r="18" spans="1:59" ht="15.75" thickBot="1" x14ac:dyDescent="0.3">
      <c r="A18" s="19" t="s">
        <v>595</v>
      </c>
      <c r="B18" s="19" t="s">
        <v>596</v>
      </c>
      <c r="C18" s="20">
        <v>1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1">
        <v>1</v>
      </c>
      <c r="J18" s="22">
        <v>2.56</v>
      </c>
      <c r="K18" s="22">
        <v>2.67</v>
      </c>
      <c r="L18" s="22">
        <v>3.02</v>
      </c>
      <c r="M18" s="22">
        <v>3.33</v>
      </c>
      <c r="N18" s="22">
        <v>3.67</v>
      </c>
      <c r="O18" s="22">
        <v>3.82</v>
      </c>
      <c r="P18" s="23">
        <v>85</v>
      </c>
      <c r="Q18" s="23">
        <v>0</v>
      </c>
      <c r="R18" s="24">
        <v>85</v>
      </c>
      <c r="S18" s="24">
        <v>85</v>
      </c>
      <c r="T18" s="24">
        <v>85</v>
      </c>
      <c r="U18" s="24">
        <v>85</v>
      </c>
      <c r="V18" s="24">
        <v>85</v>
      </c>
      <c r="W18" s="24">
        <v>85</v>
      </c>
      <c r="X18" s="25">
        <v>1.58</v>
      </c>
      <c r="Y18" s="25">
        <v>0.79</v>
      </c>
      <c r="Z18" s="25">
        <v>0.67</v>
      </c>
      <c r="AA18" s="25">
        <v>0.53</v>
      </c>
      <c r="AB18" s="25">
        <v>0.41</v>
      </c>
      <c r="AC18" s="25">
        <v>0.34</v>
      </c>
      <c r="AD18" s="26">
        <v>1.34</v>
      </c>
      <c r="AE18" s="26">
        <v>0.67</v>
      </c>
      <c r="AF18" s="26">
        <v>0.56999999999999995</v>
      </c>
      <c r="AG18" s="26">
        <v>0.45</v>
      </c>
      <c r="AH18" s="26">
        <v>0.35</v>
      </c>
      <c r="AI18" s="26">
        <v>0.28999999999999998</v>
      </c>
      <c r="AJ18" s="27">
        <v>38.99</v>
      </c>
      <c r="AK18" s="27">
        <v>20.46</v>
      </c>
      <c r="AL18" s="27">
        <v>17.05</v>
      </c>
      <c r="AM18" s="27">
        <v>13.73</v>
      </c>
      <c r="AN18" s="27">
        <v>10.51</v>
      </c>
      <c r="AO18" s="27">
        <v>8.8699999999999992</v>
      </c>
      <c r="AP18" s="28">
        <v>2468.4</v>
      </c>
      <c r="AQ18" s="28">
        <v>2583.15</v>
      </c>
      <c r="AR18" s="28">
        <v>2560.1999999999998</v>
      </c>
      <c r="AS18" s="28">
        <v>2583.15</v>
      </c>
      <c r="AT18" s="28">
        <v>2565.3000000000002</v>
      </c>
      <c r="AU18" s="28">
        <v>2575.5</v>
      </c>
      <c r="AV18" s="29">
        <v>2904</v>
      </c>
      <c r="AW18" s="29">
        <v>3039</v>
      </c>
      <c r="AX18" s="29">
        <v>3012</v>
      </c>
      <c r="AY18" s="29">
        <v>3039</v>
      </c>
      <c r="AZ18" s="29">
        <v>3018</v>
      </c>
      <c r="BA18" s="29">
        <v>3030</v>
      </c>
      <c r="BB18" s="30">
        <v>335023</v>
      </c>
      <c r="BC18" s="30">
        <v>178485</v>
      </c>
      <c r="BD18" s="30">
        <v>151026</v>
      </c>
      <c r="BE18" s="30">
        <v>123566</v>
      </c>
      <c r="BF18" s="30">
        <v>96107</v>
      </c>
      <c r="BG18" s="30">
        <v>82378</v>
      </c>
    </row>
    <row r="19" spans="1:59" ht="15.75" thickBot="1" x14ac:dyDescent="0.3">
      <c r="A19" s="19" t="s">
        <v>597</v>
      </c>
      <c r="B19" s="19" t="s">
        <v>598</v>
      </c>
      <c r="C19" s="20">
        <v>1</v>
      </c>
      <c r="D19" s="20">
        <v>1</v>
      </c>
      <c r="E19" s="20">
        <v>1</v>
      </c>
      <c r="F19" s="20">
        <v>1</v>
      </c>
      <c r="G19" s="20">
        <v>1</v>
      </c>
      <c r="H19" s="20">
        <v>1</v>
      </c>
      <c r="I19" s="21">
        <v>1</v>
      </c>
      <c r="J19" s="22">
        <v>2.56</v>
      </c>
      <c r="K19" s="22">
        <v>2.67</v>
      </c>
      <c r="L19" s="22">
        <v>3.02</v>
      </c>
      <c r="M19" s="22">
        <v>3.33</v>
      </c>
      <c r="N19" s="22">
        <v>3.67</v>
      </c>
      <c r="O19" s="22">
        <v>3.82</v>
      </c>
      <c r="P19" s="23">
        <v>85</v>
      </c>
      <c r="Q19" s="23">
        <v>0</v>
      </c>
      <c r="R19" s="24">
        <v>85</v>
      </c>
      <c r="S19" s="24">
        <v>85</v>
      </c>
      <c r="T19" s="24">
        <v>85</v>
      </c>
      <c r="U19" s="24">
        <v>85</v>
      </c>
      <c r="V19" s="24">
        <v>85</v>
      </c>
      <c r="W19" s="24">
        <v>85</v>
      </c>
      <c r="X19" s="25">
        <v>1.1000000000000001</v>
      </c>
      <c r="Y19" s="25">
        <v>0.21</v>
      </c>
      <c r="Z19" s="25">
        <v>0.17</v>
      </c>
      <c r="AA19" s="25">
        <v>0.14000000000000001</v>
      </c>
      <c r="AB19" s="25">
        <v>0.11</v>
      </c>
      <c r="AC19" s="25">
        <v>0.09</v>
      </c>
      <c r="AD19" s="26">
        <v>0.94</v>
      </c>
      <c r="AE19" s="26">
        <v>0.18</v>
      </c>
      <c r="AF19" s="26">
        <v>0.15</v>
      </c>
      <c r="AG19" s="26">
        <v>0.12</v>
      </c>
      <c r="AH19" s="26">
        <v>0.09</v>
      </c>
      <c r="AI19" s="26">
        <v>0.08</v>
      </c>
      <c r="AJ19" s="27">
        <v>27.22</v>
      </c>
      <c r="AK19" s="27">
        <v>5.36</v>
      </c>
      <c r="AL19" s="27">
        <v>4.47</v>
      </c>
      <c r="AM19" s="27">
        <v>3.6</v>
      </c>
      <c r="AN19" s="27">
        <v>2.76</v>
      </c>
      <c r="AO19" s="27">
        <v>2.3199999999999998</v>
      </c>
      <c r="AP19" s="28">
        <v>2468.4</v>
      </c>
      <c r="AQ19" s="28">
        <v>2583.15</v>
      </c>
      <c r="AR19" s="28">
        <v>2560.1999999999998</v>
      </c>
      <c r="AS19" s="28">
        <v>2583.15</v>
      </c>
      <c r="AT19" s="28">
        <v>2565.3000000000002</v>
      </c>
      <c r="AU19" s="28">
        <v>2575.5</v>
      </c>
      <c r="AV19" s="29">
        <v>2904</v>
      </c>
      <c r="AW19" s="29">
        <v>3039</v>
      </c>
      <c r="AX19" s="29">
        <v>3012</v>
      </c>
      <c r="AY19" s="29">
        <v>3039</v>
      </c>
      <c r="AZ19" s="29">
        <v>3018</v>
      </c>
      <c r="BA19" s="29">
        <v>3030</v>
      </c>
      <c r="BB19" s="30">
        <v>233887</v>
      </c>
      <c r="BC19" s="30">
        <v>46771</v>
      </c>
      <c r="BD19" s="30">
        <v>39575</v>
      </c>
      <c r="BE19" s="30">
        <v>32380</v>
      </c>
      <c r="BF19" s="30">
        <v>25184</v>
      </c>
      <c r="BG19" s="30">
        <v>21587</v>
      </c>
    </row>
    <row r="20" spans="1:59" ht="15.75" thickBot="1" x14ac:dyDescent="0.3">
      <c r="A20" s="19" t="s">
        <v>599</v>
      </c>
      <c r="B20" s="19" t="s">
        <v>527</v>
      </c>
      <c r="C20" s="20">
        <v>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1">
        <v>1</v>
      </c>
      <c r="J20" s="22">
        <v>2.56</v>
      </c>
      <c r="K20" s="22">
        <v>2.67</v>
      </c>
      <c r="L20" s="22">
        <v>3.02</v>
      </c>
      <c r="M20" s="22">
        <v>3.33</v>
      </c>
      <c r="N20" s="22">
        <v>3.67</v>
      </c>
      <c r="O20" s="22">
        <v>3.82</v>
      </c>
      <c r="P20" s="23">
        <v>85</v>
      </c>
      <c r="Q20" s="23">
        <v>0</v>
      </c>
      <c r="R20" s="24">
        <v>85</v>
      </c>
      <c r="S20" s="24">
        <v>85</v>
      </c>
      <c r="T20" s="24">
        <v>85</v>
      </c>
      <c r="U20" s="24">
        <v>85</v>
      </c>
      <c r="V20" s="24">
        <v>85</v>
      </c>
      <c r="W20" s="24">
        <v>85</v>
      </c>
      <c r="X20" s="25">
        <v>0.48</v>
      </c>
      <c r="Y20" s="25">
        <v>0.33</v>
      </c>
      <c r="Z20" s="25">
        <v>0.33</v>
      </c>
      <c r="AA20" s="25">
        <v>0.32</v>
      </c>
      <c r="AB20" s="25">
        <v>0.32</v>
      </c>
      <c r="AC20" s="25">
        <v>0.31</v>
      </c>
      <c r="AD20" s="26">
        <v>0.41</v>
      </c>
      <c r="AE20" s="26">
        <v>0.28000000000000003</v>
      </c>
      <c r="AF20" s="26">
        <v>0.28000000000000003</v>
      </c>
      <c r="AG20" s="26">
        <v>0.27</v>
      </c>
      <c r="AH20" s="26">
        <v>0.27</v>
      </c>
      <c r="AI20" s="26">
        <v>0.27</v>
      </c>
      <c r="AJ20" s="27">
        <v>11.95</v>
      </c>
      <c r="AK20" s="27">
        <v>8.59</v>
      </c>
      <c r="AL20" s="27">
        <v>8.4600000000000009</v>
      </c>
      <c r="AM20" s="27">
        <v>8.33</v>
      </c>
      <c r="AN20" s="27">
        <v>8.1999999999999993</v>
      </c>
      <c r="AO20" s="27">
        <v>8.07</v>
      </c>
      <c r="AP20" s="28">
        <v>2468.4</v>
      </c>
      <c r="AQ20" s="28">
        <v>2583.15</v>
      </c>
      <c r="AR20" s="28">
        <v>2560.1999999999998</v>
      </c>
      <c r="AS20" s="28">
        <v>2583.15</v>
      </c>
      <c r="AT20" s="28">
        <v>2565.3000000000002</v>
      </c>
      <c r="AU20" s="28">
        <v>2575.5</v>
      </c>
      <c r="AV20" s="29">
        <v>2904</v>
      </c>
      <c r="AW20" s="29">
        <v>3039</v>
      </c>
      <c r="AX20" s="29">
        <v>3012</v>
      </c>
      <c r="AY20" s="29">
        <v>3039</v>
      </c>
      <c r="AZ20" s="29">
        <v>3018</v>
      </c>
      <c r="BA20" s="29">
        <v>3030</v>
      </c>
      <c r="BB20" s="30">
        <v>113496</v>
      </c>
      <c r="BC20" s="30">
        <v>82892</v>
      </c>
      <c r="BD20" s="30">
        <v>82892</v>
      </c>
      <c r="BE20" s="30">
        <v>82892</v>
      </c>
      <c r="BF20" s="30">
        <v>82892</v>
      </c>
      <c r="BG20" s="30">
        <v>82892</v>
      </c>
    </row>
    <row r="21" spans="1:59" ht="15.75" thickBot="1" x14ac:dyDescent="0.3">
      <c r="A21" s="19" t="s">
        <v>291</v>
      </c>
      <c r="B21" s="19" t="s">
        <v>292</v>
      </c>
      <c r="C21" s="20">
        <v>1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1">
        <v>1</v>
      </c>
      <c r="J21" s="22">
        <v>2.56</v>
      </c>
      <c r="K21" s="22">
        <v>2.67</v>
      </c>
      <c r="L21" s="22">
        <v>3.02</v>
      </c>
      <c r="M21" s="22">
        <v>3.33</v>
      </c>
      <c r="N21" s="22">
        <v>3.67</v>
      </c>
      <c r="O21" s="22">
        <v>3.82</v>
      </c>
      <c r="P21" s="23">
        <v>85</v>
      </c>
      <c r="Q21" s="23">
        <v>0</v>
      </c>
      <c r="R21" s="24">
        <v>85</v>
      </c>
      <c r="S21" s="24">
        <v>85</v>
      </c>
      <c r="T21" s="24">
        <v>85</v>
      </c>
      <c r="U21" s="24">
        <v>85</v>
      </c>
      <c r="V21" s="24">
        <v>85</v>
      </c>
      <c r="W21" s="24">
        <v>85</v>
      </c>
      <c r="X21" s="25">
        <v>0.14000000000000001</v>
      </c>
      <c r="Y21" s="25">
        <v>2.87</v>
      </c>
      <c r="Z21" s="25">
        <v>2.85</v>
      </c>
      <c r="AA21" s="25">
        <v>2.78</v>
      </c>
      <c r="AB21" s="25">
        <v>2.75</v>
      </c>
      <c r="AC21" s="25">
        <v>2.7</v>
      </c>
      <c r="AD21" s="26">
        <v>0.12</v>
      </c>
      <c r="AE21" s="26">
        <v>2.44</v>
      </c>
      <c r="AF21" s="26">
        <v>2.42</v>
      </c>
      <c r="AG21" s="26">
        <v>2.36</v>
      </c>
      <c r="AH21" s="26">
        <v>2.34</v>
      </c>
      <c r="AI21" s="26">
        <v>2.29</v>
      </c>
      <c r="AJ21" s="27">
        <v>3.34</v>
      </c>
      <c r="AK21" s="27">
        <v>74.03</v>
      </c>
      <c r="AL21" s="27">
        <v>72.900000000000006</v>
      </c>
      <c r="AM21" s="27">
        <v>71.78</v>
      </c>
      <c r="AN21" s="27">
        <v>70.650000000000006</v>
      </c>
      <c r="AO21" s="27">
        <v>69.52</v>
      </c>
      <c r="AP21" s="28">
        <v>2468.4</v>
      </c>
      <c r="AQ21" s="28">
        <v>2583.15</v>
      </c>
      <c r="AR21" s="28">
        <v>2560.1999999999998</v>
      </c>
      <c r="AS21" s="28">
        <v>2583.15</v>
      </c>
      <c r="AT21" s="28">
        <v>2565.3000000000002</v>
      </c>
      <c r="AU21" s="28">
        <v>2575.5</v>
      </c>
      <c r="AV21" s="29">
        <v>2904</v>
      </c>
      <c r="AW21" s="29">
        <v>3039</v>
      </c>
      <c r="AX21" s="29">
        <v>3012</v>
      </c>
      <c r="AY21" s="29">
        <v>3039</v>
      </c>
      <c r="AZ21" s="29">
        <v>3018</v>
      </c>
      <c r="BA21" s="29">
        <v>3030</v>
      </c>
      <c r="BB21" s="30">
        <v>1639</v>
      </c>
      <c r="BC21" s="30">
        <v>36827</v>
      </c>
      <c r="BD21" s="30">
        <v>36827</v>
      </c>
      <c r="BE21" s="30">
        <v>36827</v>
      </c>
      <c r="BF21" s="30">
        <v>36827</v>
      </c>
      <c r="BG21" s="30">
        <v>36827</v>
      </c>
    </row>
    <row r="22" spans="1:59" ht="15.75" thickBot="1" x14ac:dyDescent="0.3">
      <c r="A22" s="19" t="s">
        <v>600</v>
      </c>
      <c r="B22" s="19" t="s">
        <v>601</v>
      </c>
      <c r="C22" s="20">
        <v>1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1">
        <v>1</v>
      </c>
      <c r="J22" s="22">
        <v>2.56</v>
      </c>
      <c r="K22" s="22">
        <v>2.67</v>
      </c>
      <c r="L22" s="22">
        <v>3.02</v>
      </c>
      <c r="M22" s="22">
        <v>3.33</v>
      </c>
      <c r="N22" s="22">
        <v>3.67</v>
      </c>
      <c r="O22" s="22">
        <v>3.82</v>
      </c>
      <c r="P22" s="23">
        <v>85</v>
      </c>
      <c r="Q22" s="23">
        <v>0</v>
      </c>
      <c r="R22" s="24">
        <v>85</v>
      </c>
      <c r="S22" s="24">
        <v>85</v>
      </c>
      <c r="T22" s="24">
        <v>85</v>
      </c>
      <c r="U22" s="24">
        <v>85</v>
      </c>
      <c r="V22" s="24">
        <v>85</v>
      </c>
      <c r="W22" s="24">
        <v>85</v>
      </c>
      <c r="X22" s="25">
        <v>7.0000000000000007E-2</v>
      </c>
      <c r="Y22" s="25">
        <v>0.06</v>
      </c>
      <c r="Z22" s="25">
        <v>0.06</v>
      </c>
      <c r="AA22" s="25">
        <v>0.06</v>
      </c>
      <c r="AB22" s="25">
        <v>0.06</v>
      </c>
      <c r="AC22" s="25">
        <v>0.06</v>
      </c>
      <c r="AD22" s="26">
        <v>0.06</v>
      </c>
      <c r="AE22" s="26">
        <v>0.05</v>
      </c>
      <c r="AF22" s="26">
        <v>0.05</v>
      </c>
      <c r="AG22" s="26">
        <v>0.05</v>
      </c>
      <c r="AH22" s="26">
        <v>0.05</v>
      </c>
      <c r="AI22" s="26">
        <v>0.05</v>
      </c>
      <c r="AJ22" s="27">
        <v>1.61</v>
      </c>
      <c r="AK22" s="27">
        <v>1.65</v>
      </c>
      <c r="AL22" s="27">
        <v>1.63</v>
      </c>
      <c r="AM22" s="27">
        <v>1.6</v>
      </c>
      <c r="AN22" s="27">
        <v>1.58</v>
      </c>
      <c r="AO22" s="27">
        <v>1.55</v>
      </c>
      <c r="AP22" s="28">
        <v>2468.4</v>
      </c>
      <c r="AQ22" s="28">
        <v>2583.15</v>
      </c>
      <c r="AR22" s="28">
        <v>2560.1999999999998</v>
      </c>
      <c r="AS22" s="28">
        <v>2583.15</v>
      </c>
      <c r="AT22" s="28">
        <v>2565.3000000000002</v>
      </c>
      <c r="AU22" s="28">
        <v>2575.5</v>
      </c>
      <c r="AV22" s="29">
        <v>2904</v>
      </c>
      <c r="AW22" s="29">
        <v>3039</v>
      </c>
      <c r="AX22" s="29">
        <v>3012</v>
      </c>
      <c r="AY22" s="29">
        <v>3039</v>
      </c>
      <c r="AZ22" s="29">
        <v>3018</v>
      </c>
      <c r="BA22" s="29">
        <v>3030</v>
      </c>
      <c r="BB22" s="30">
        <v>141966</v>
      </c>
      <c r="BC22" s="30">
        <v>147568</v>
      </c>
      <c r="BD22" s="30">
        <v>147568</v>
      </c>
      <c r="BE22" s="30">
        <v>147568</v>
      </c>
      <c r="BF22" s="30">
        <v>147568</v>
      </c>
      <c r="BG22" s="30">
        <v>147568</v>
      </c>
    </row>
    <row r="23" spans="1:59" ht="15.75" thickBot="1" x14ac:dyDescent="0.3">
      <c r="A23" s="19" t="s">
        <v>602</v>
      </c>
      <c r="B23" s="19" t="s">
        <v>603</v>
      </c>
      <c r="C23" s="20">
        <v>1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1">
        <v>1</v>
      </c>
      <c r="J23" s="22">
        <v>2.56</v>
      </c>
      <c r="K23" s="22">
        <v>2.67</v>
      </c>
      <c r="L23" s="22">
        <v>3.02</v>
      </c>
      <c r="M23" s="22">
        <v>3.33</v>
      </c>
      <c r="N23" s="22">
        <v>3.67</v>
      </c>
      <c r="O23" s="22">
        <v>3.82</v>
      </c>
      <c r="P23" s="23">
        <v>85</v>
      </c>
      <c r="Q23" s="23">
        <v>0</v>
      </c>
      <c r="R23" s="24">
        <v>85</v>
      </c>
      <c r="S23" s="24">
        <v>85</v>
      </c>
      <c r="T23" s="24">
        <v>85</v>
      </c>
      <c r="U23" s="24">
        <v>85</v>
      </c>
      <c r="V23" s="24">
        <v>85</v>
      </c>
      <c r="W23" s="24">
        <v>85</v>
      </c>
      <c r="X23" s="25">
        <v>0.15</v>
      </c>
      <c r="Y23" s="25">
        <v>0.2</v>
      </c>
      <c r="Z23" s="25">
        <v>0.2</v>
      </c>
      <c r="AA23" s="25">
        <v>0.19</v>
      </c>
      <c r="AB23" s="25">
        <v>0.19</v>
      </c>
      <c r="AC23" s="25">
        <v>0.19</v>
      </c>
      <c r="AD23" s="26">
        <v>0.13</v>
      </c>
      <c r="AE23" s="26">
        <v>0.17</v>
      </c>
      <c r="AF23" s="26">
        <v>0.17</v>
      </c>
      <c r="AG23" s="26">
        <v>0.16</v>
      </c>
      <c r="AH23" s="26">
        <v>0.16</v>
      </c>
      <c r="AI23" s="26">
        <v>0.16</v>
      </c>
      <c r="AJ23" s="27">
        <v>3.72</v>
      </c>
      <c r="AK23" s="27">
        <v>5.14</v>
      </c>
      <c r="AL23" s="27">
        <v>5.0599999999999996</v>
      </c>
      <c r="AM23" s="27">
        <v>4.9800000000000004</v>
      </c>
      <c r="AN23" s="27">
        <v>4.9000000000000004</v>
      </c>
      <c r="AO23" s="27">
        <v>4.82</v>
      </c>
      <c r="AP23" s="28">
        <v>2468.4</v>
      </c>
      <c r="AQ23" s="28">
        <v>2583.15</v>
      </c>
      <c r="AR23" s="28">
        <v>2560.1999999999998</v>
      </c>
      <c r="AS23" s="28">
        <v>2583.15</v>
      </c>
      <c r="AT23" s="28">
        <v>2565.3000000000002</v>
      </c>
      <c r="AU23" s="28">
        <v>2575.5</v>
      </c>
      <c r="AV23" s="29">
        <v>2904</v>
      </c>
      <c r="AW23" s="29">
        <v>3039</v>
      </c>
      <c r="AX23" s="29">
        <v>3012</v>
      </c>
      <c r="AY23" s="29">
        <v>3039</v>
      </c>
      <c r="AZ23" s="29">
        <v>3018</v>
      </c>
      <c r="BA23" s="29">
        <v>3030</v>
      </c>
      <c r="BB23" s="30">
        <v>111583</v>
      </c>
      <c r="BC23" s="30">
        <v>156419</v>
      </c>
      <c r="BD23" s="30">
        <v>156419</v>
      </c>
      <c r="BE23" s="30">
        <v>156419</v>
      </c>
      <c r="BF23" s="30">
        <v>156419</v>
      </c>
      <c r="BG23" s="30">
        <v>156419</v>
      </c>
    </row>
    <row r="24" spans="1:59" ht="15.75" thickBot="1" x14ac:dyDescent="0.3">
      <c r="A24" s="19" t="s">
        <v>604</v>
      </c>
      <c r="B24" s="19" t="s">
        <v>528</v>
      </c>
      <c r="C24" s="20">
        <v>1</v>
      </c>
      <c r="D24" s="20">
        <v>1</v>
      </c>
      <c r="E24" s="20">
        <v>1</v>
      </c>
      <c r="F24" s="20">
        <v>1</v>
      </c>
      <c r="G24" s="20">
        <v>1</v>
      </c>
      <c r="H24" s="20">
        <v>1</v>
      </c>
      <c r="I24" s="21">
        <v>1</v>
      </c>
      <c r="J24" s="22">
        <v>2.56</v>
      </c>
      <c r="K24" s="22">
        <v>2.67</v>
      </c>
      <c r="L24" s="22">
        <v>3.02</v>
      </c>
      <c r="M24" s="22">
        <v>3.33</v>
      </c>
      <c r="N24" s="22">
        <v>3.67</v>
      </c>
      <c r="O24" s="22">
        <v>3.82</v>
      </c>
      <c r="P24" s="23">
        <v>85</v>
      </c>
      <c r="Q24" s="23">
        <v>0</v>
      </c>
      <c r="R24" s="24">
        <v>85</v>
      </c>
      <c r="S24" s="24">
        <v>85</v>
      </c>
      <c r="T24" s="24">
        <v>85</v>
      </c>
      <c r="U24" s="24">
        <v>85</v>
      </c>
      <c r="V24" s="24">
        <v>85</v>
      </c>
      <c r="W24" s="24">
        <v>85</v>
      </c>
      <c r="X24" s="25">
        <v>0.02</v>
      </c>
      <c r="Y24" s="25">
        <v>0.03</v>
      </c>
      <c r="Z24" s="25">
        <v>0.03</v>
      </c>
      <c r="AA24" s="25">
        <v>0.02</v>
      </c>
      <c r="AB24" s="25">
        <v>0.02</v>
      </c>
      <c r="AC24" s="25">
        <v>0.02</v>
      </c>
      <c r="AD24" s="26">
        <v>0.02</v>
      </c>
      <c r="AE24" s="26">
        <v>0.02</v>
      </c>
      <c r="AF24" s="26">
        <v>0.02</v>
      </c>
      <c r="AG24" s="26">
        <v>0.02</v>
      </c>
      <c r="AH24" s="26">
        <v>0.02</v>
      </c>
      <c r="AI24" s="26">
        <v>0.02</v>
      </c>
      <c r="AJ24" s="27">
        <v>0.45</v>
      </c>
      <c r="AK24" s="27">
        <v>0.66</v>
      </c>
      <c r="AL24" s="27">
        <v>0.65</v>
      </c>
      <c r="AM24" s="27">
        <v>0.64</v>
      </c>
      <c r="AN24" s="27">
        <v>0.63</v>
      </c>
      <c r="AO24" s="27">
        <v>0.62</v>
      </c>
      <c r="AP24" s="28">
        <v>2468.4</v>
      </c>
      <c r="AQ24" s="28">
        <v>2583.15</v>
      </c>
      <c r="AR24" s="28">
        <v>2560.1999999999998</v>
      </c>
      <c r="AS24" s="28">
        <v>2583.15</v>
      </c>
      <c r="AT24" s="28">
        <v>2565.3000000000002</v>
      </c>
      <c r="AU24" s="28">
        <v>2575.5</v>
      </c>
      <c r="AV24" s="29">
        <v>2904</v>
      </c>
      <c r="AW24" s="29">
        <v>3039</v>
      </c>
      <c r="AX24" s="29">
        <v>3012</v>
      </c>
      <c r="AY24" s="29">
        <v>3039</v>
      </c>
      <c r="AZ24" s="29">
        <v>3018</v>
      </c>
      <c r="BA24" s="29">
        <v>3030</v>
      </c>
      <c r="BB24" s="30">
        <v>3600</v>
      </c>
      <c r="BC24" s="30">
        <v>5331</v>
      </c>
      <c r="BD24" s="30">
        <v>5331</v>
      </c>
      <c r="BE24" s="30">
        <v>5331</v>
      </c>
      <c r="BF24" s="30">
        <v>5331</v>
      </c>
      <c r="BG24" s="30">
        <v>5331</v>
      </c>
    </row>
    <row r="25" spans="1:59" ht="15.75" thickBot="1" x14ac:dyDescent="0.3">
      <c r="A25" s="19" t="s">
        <v>605</v>
      </c>
      <c r="B25" s="19" t="s">
        <v>529</v>
      </c>
      <c r="C25" s="20">
        <v>1</v>
      </c>
      <c r="D25" s="20">
        <v>1</v>
      </c>
      <c r="E25" s="20">
        <v>1</v>
      </c>
      <c r="F25" s="20">
        <v>1</v>
      </c>
      <c r="G25" s="20">
        <v>1</v>
      </c>
      <c r="H25" s="20">
        <v>1</v>
      </c>
      <c r="I25" s="21">
        <v>1</v>
      </c>
      <c r="J25" s="22">
        <v>2.56</v>
      </c>
      <c r="K25" s="22">
        <v>2.67</v>
      </c>
      <c r="L25" s="22">
        <v>3.02</v>
      </c>
      <c r="M25" s="22">
        <v>3.33</v>
      </c>
      <c r="N25" s="22">
        <v>3.67</v>
      </c>
      <c r="O25" s="22">
        <v>3.82</v>
      </c>
      <c r="P25" s="23">
        <v>85</v>
      </c>
      <c r="Q25" s="23">
        <v>0</v>
      </c>
      <c r="R25" s="24">
        <v>85</v>
      </c>
      <c r="S25" s="24">
        <v>85</v>
      </c>
      <c r="T25" s="24">
        <v>85</v>
      </c>
      <c r="U25" s="24">
        <v>85</v>
      </c>
      <c r="V25" s="24">
        <v>85</v>
      </c>
      <c r="W25" s="24">
        <v>85</v>
      </c>
      <c r="X25" s="25">
        <v>0.35</v>
      </c>
      <c r="Y25" s="25">
        <v>0.38</v>
      </c>
      <c r="Z25" s="25">
        <v>0.38</v>
      </c>
      <c r="AA25" s="25">
        <v>0.37</v>
      </c>
      <c r="AB25" s="25">
        <v>0.37</v>
      </c>
      <c r="AC25" s="25">
        <v>0.36</v>
      </c>
      <c r="AD25" s="26">
        <v>0.3</v>
      </c>
      <c r="AE25" s="26">
        <v>0.32</v>
      </c>
      <c r="AF25" s="26">
        <v>0.32</v>
      </c>
      <c r="AG25" s="26">
        <v>0.31</v>
      </c>
      <c r="AH25" s="26">
        <v>0.31</v>
      </c>
      <c r="AI25" s="26">
        <v>0.31</v>
      </c>
      <c r="AJ25" s="27">
        <v>8.74</v>
      </c>
      <c r="AK25" s="27">
        <v>9.85</v>
      </c>
      <c r="AL25" s="27">
        <v>9.6999999999999993</v>
      </c>
      <c r="AM25" s="27">
        <v>9.5500000000000007</v>
      </c>
      <c r="AN25" s="27">
        <v>9.4</v>
      </c>
      <c r="AO25" s="27">
        <v>9.25</v>
      </c>
      <c r="AP25" s="28">
        <v>2468.4</v>
      </c>
      <c r="AQ25" s="28">
        <v>2583.15</v>
      </c>
      <c r="AR25" s="28">
        <v>2560.1999999999998</v>
      </c>
      <c r="AS25" s="28">
        <v>2583.15</v>
      </c>
      <c r="AT25" s="28">
        <v>2565.3000000000002</v>
      </c>
      <c r="AU25" s="28">
        <v>2575.5</v>
      </c>
      <c r="AV25" s="29">
        <v>2904</v>
      </c>
      <c r="AW25" s="29">
        <v>3039</v>
      </c>
      <c r="AX25" s="29">
        <v>3012</v>
      </c>
      <c r="AY25" s="29">
        <v>3039</v>
      </c>
      <c r="AZ25" s="29">
        <v>3018</v>
      </c>
      <c r="BA25" s="29">
        <v>3030</v>
      </c>
      <c r="BB25" s="30">
        <v>77846</v>
      </c>
      <c r="BC25" s="30">
        <v>89057</v>
      </c>
      <c r="BD25" s="30">
        <v>89057</v>
      </c>
      <c r="BE25" s="30">
        <v>89057</v>
      </c>
      <c r="BF25" s="30">
        <v>89057</v>
      </c>
      <c r="BG25" s="30">
        <v>89057</v>
      </c>
    </row>
    <row r="26" spans="1:59" ht="15.75" thickBot="1" x14ac:dyDescent="0.3">
      <c r="A26" s="19" t="s">
        <v>606</v>
      </c>
      <c r="B26" s="19" t="s">
        <v>530</v>
      </c>
      <c r="C26" s="20">
        <v>1</v>
      </c>
      <c r="D26" s="20">
        <v>1</v>
      </c>
      <c r="E26" s="20">
        <v>1</v>
      </c>
      <c r="F26" s="20">
        <v>1</v>
      </c>
      <c r="G26" s="20">
        <v>1</v>
      </c>
      <c r="H26" s="20">
        <v>1</v>
      </c>
      <c r="I26" s="21">
        <v>1</v>
      </c>
      <c r="J26" s="22">
        <v>2.56</v>
      </c>
      <c r="K26" s="22">
        <v>2.67</v>
      </c>
      <c r="L26" s="22">
        <v>3.02</v>
      </c>
      <c r="M26" s="22">
        <v>3.33</v>
      </c>
      <c r="N26" s="22">
        <v>3.67</v>
      </c>
      <c r="O26" s="22">
        <v>3.82</v>
      </c>
      <c r="P26" s="23">
        <v>85</v>
      </c>
      <c r="Q26" s="23">
        <v>0</v>
      </c>
      <c r="R26" s="24">
        <v>85</v>
      </c>
      <c r="S26" s="24">
        <v>85</v>
      </c>
      <c r="T26" s="24">
        <v>85</v>
      </c>
      <c r="U26" s="24">
        <v>85</v>
      </c>
      <c r="V26" s="24">
        <v>85</v>
      </c>
      <c r="W26" s="24">
        <v>85</v>
      </c>
      <c r="X26" s="25">
        <v>2.38</v>
      </c>
      <c r="Y26" s="25">
        <v>3.79</v>
      </c>
      <c r="Z26" s="25">
        <v>3.76</v>
      </c>
      <c r="AA26" s="25">
        <v>3.67</v>
      </c>
      <c r="AB26" s="25">
        <v>3.64</v>
      </c>
      <c r="AC26" s="25">
        <v>3.57</v>
      </c>
      <c r="AD26" s="26">
        <v>2.02</v>
      </c>
      <c r="AE26" s="26">
        <v>3.22</v>
      </c>
      <c r="AF26" s="26">
        <v>3.2</v>
      </c>
      <c r="AG26" s="26">
        <v>3.12</v>
      </c>
      <c r="AH26" s="26">
        <v>3.09</v>
      </c>
      <c r="AI26" s="26">
        <v>3.03</v>
      </c>
      <c r="AJ26" s="27">
        <v>58.75</v>
      </c>
      <c r="AK26" s="27">
        <v>97.78</v>
      </c>
      <c r="AL26" s="27">
        <v>96.29</v>
      </c>
      <c r="AM26" s="27">
        <v>94.8</v>
      </c>
      <c r="AN26" s="27">
        <v>93.31</v>
      </c>
      <c r="AO26" s="27">
        <v>91.82</v>
      </c>
      <c r="AP26" s="28">
        <v>2468.4</v>
      </c>
      <c r="AQ26" s="28">
        <v>2583.15</v>
      </c>
      <c r="AR26" s="28">
        <v>2560.1999999999998</v>
      </c>
      <c r="AS26" s="28">
        <v>2583.15</v>
      </c>
      <c r="AT26" s="28">
        <v>2565.3000000000002</v>
      </c>
      <c r="AU26" s="28">
        <v>2575.5</v>
      </c>
      <c r="AV26" s="29">
        <v>2904</v>
      </c>
      <c r="AW26" s="29">
        <v>3039</v>
      </c>
      <c r="AX26" s="29">
        <v>3012</v>
      </c>
      <c r="AY26" s="29">
        <v>3039</v>
      </c>
      <c r="AZ26" s="29">
        <v>3018</v>
      </c>
      <c r="BA26" s="29">
        <v>3030</v>
      </c>
      <c r="BB26" s="30">
        <v>362334</v>
      </c>
      <c r="BC26" s="30">
        <v>612269</v>
      </c>
      <c r="BD26" s="30">
        <v>612269</v>
      </c>
      <c r="BE26" s="30">
        <v>612269</v>
      </c>
      <c r="BF26" s="30">
        <v>612269</v>
      </c>
      <c r="BG26" s="30">
        <v>612269</v>
      </c>
    </row>
    <row r="27" spans="1:59" ht="15.75" thickBot="1" x14ac:dyDescent="0.3">
      <c r="A27" s="19" t="s">
        <v>607</v>
      </c>
      <c r="B27" s="19" t="s">
        <v>531</v>
      </c>
      <c r="C27" s="20">
        <v>1</v>
      </c>
      <c r="D27" s="20">
        <v>1</v>
      </c>
      <c r="E27" s="20">
        <v>1</v>
      </c>
      <c r="F27" s="20">
        <v>1</v>
      </c>
      <c r="G27" s="20">
        <v>1</v>
      </c>
      <c r="H27" s="20">
        <v>1</v>
      </c>
      <c r="I27" s="21">
        <v>1</v>
      </c>
      <c r="J27" s="22">
        <v>2.56</v>
      </c>
      <c r="K27" s="22">
        <v>2.67</v>
      </c>
      <c r="L27" s="22">
        <v>3.02</v>
      </c>
      <c r="M27" s="22">
        <v>3.33</v>
      </c>
      <c r="N27" s="22">
        <v>3.67</v>
      </c>
      <c r="O27" s="22">
        <v>3.82</v>
      </c>
      <c r="P27" s="23">
        <v>85</v>
      </c>
      <c r="Q27" s="23">
        <v>0</v>
      </c>
      <c r="R27" s="24">
        <v>85</v>
      </c>
      <c r="S27" s="24">
        <v>85</v>
      </c>
      <c r="T27" s="24">
        <v>85</v>
      </c>
      <c r="U27" s="24">
        <v>85</v>
      </c>
      <c r="V27" s="24">
        <v>85</v>
      </c>
      <c r="W27" s="24">
        <v>85</v>
      </c>
      <c r="X27" s="25">
        <v>0.9</v>
      </c>
      <c r="Y27" s="25">
        <v>0.67</v>
      </c>
      <c r="Z27" s="25">
        <v>0.66</v>
      </c>
      <c r="AA27" s="25">
        <v>0.65</v>
      </c>
      <c r="AB27" s="25">
        <v>0.64</v>
      </c>
      <c r="AC27" s="25">
        <v>0.63</v>
      </c>
      <c r="AD27" s="26">
        <v>0.77</v>
      </c>
      <c r="AE27" s="26">
        <v>0.56999999999999995</v>
      </c>
      <c r="AF27" s="26">
        <v>0.56000000000000005</v>
      </c>
      <c r="AG27" s="26">
        <v>0.55000000000000004</v>
      </c>
      <c r="AH27" s="26">
        <v>0.54</v>
      </c>
      <c r="AI27" s="26">
        <v>0.53</v>
      </c>
      <c r="AJ27" s="27">
        <v>22.23</v>
      </c>
      <c r="AK27" s="27">
        <v>17.190000000000001</v>
      </c>
      <c r="AL27" s="27">
        <v>16.93</v>
      </c>
      <c r="AM27" s="27">
        <v>16.670000000000002</v>
      </c>
      <c r="AN27" s="27">
        <v>16.41</v>
      </c>
      <c r="AO27" s="27">
        <v>16.149999999999999</v>
      </c>
      <c r="AP27" s="28">
        <v>2468.4</v>
      </c>
      <c r="AQ27" s="28">
        <v>2583.15</v>
      </c>
      <c r="AR27" s="28">
        <v>2560.1999999999998</v>
      </c>
      <c r="AS27" s="28">
        <v>2583.15</v>
      </c>
      <c r="AT27" s="28">
        <v>2565.3000000000002</v>
      </c>
      <c r="AU27" s="28">
        <v>2575.5</v>
      </c>
      <c r="AV27" s="29">
        <v>2904</v>
      </c>
      <c r="AW27" s="29">
        <v>3039</v>
      </c>
      <c r="AX27" s="29">
        <v>3012</v>
      </c>
      <c r="AY27" s="29">
        <v>3039</v>
      </c>
      <c r="AZ27" s="29">
        <v>3018</v>
      </c>
      <c r="BA27" s="29">
        <v>3030</v>
      </c>
      <c r="BB27" s="30">
        <v>137086</v>
      </c>
      <c r="BC27" s="30">
        <v>107656</v>
      </c>
      <c r="BD27" s="30">
        <v>107656</v>
      </c>
      <c r="BE27" s="30">
        <v>107656</v>
      </c>
      <c r="BF27" s="30">
        <v>107656</v>
      </c>
      <c r="BG27" s="30">
        <v>107656</v>
      </c>
    </row>
    <row r="28" spans="1:59" ht="15.75" thickBot="1" x14ac:dyDescent="0.3">
      <c r="A28" s="19" t="s">
        <v>608</v>
      </c>
      <c r="B28" s="19" t="s">
        <v>532</v>
      </c>
      <c r="C28" s="20">
        <v>1</v>
      </c>
      <c r="D28" s="20">
        <v>1</v>
      </c>
      <c r="E28" s="20">
        <v>1</v>
      </c>
      <c r="F28" s="20">
        <v>1</v>
      </c>
      <c r="G28" s="20">
        <v>1</v>
      </c>
      <c r="H28" s="20">
        <v>1</v>
      </c>
      <c r="I28" s="21">
        <v>1</v>
      </c>
      <c r="J28" s="22">
        <v>2.56</v>
      </c>
      <c r="K28" s="22">
        <v>2.67</v>
      </c>
      <c r="L28" s="22">
        <v>3.02</v>
      </c>
      <c r="M28" s="22">
        <v>3.33</v>
      </c>
      <c r="N28" s="22">
        <v>3.67</v>
      </c>
      <c r="O28" s="22">
        <v>3.82</v>
      </c>
      <c r="P28" s="23">
        <v>85</v>
      </c>
      <c r="Q28" s="23">
        <v>0</v>
      </c>
      <c r="R28" s="24">
        <v>85</v>
      </c>
      <c r="S28" s="24">
        <v>85</v>
      </c>
      <c r="T28" s="24">
        <v>85</v>
      </c>
      <c r="U28" s="24">
        <v>85</v>
      </c>
      <c r="V28" s="24">
        <v>85</v>
      </c>
      <c r="W28" s="24">
        <v>85</v>
      </c>
      <c r="X28" s="25">
        <v>0</v>
      </c>
      <c r="Y28" s="25">
        <v>0.03</v>
      </c>
      <c r="Z28" s="25">
        <v>0.03</v>
      </c>
      <c r="AA28" s="25">
        <v>0.03</v>
      </c>
      <c r="AB28" s="25">
        <v>0.03</v>
      </c>
      <c r="AC28" s="25">
        <v>0.03</v>
      </c>
      <c r="AD28" s="26">
        <v>0</v>
      </c>
      <c r="AE28" s="26">
        <v>0.03</v>
      </c>
      <c r="AF28" s="26">
        <v>0.03</v>
      </c>
      <c r="AG28" s="26">
        <v>0.03</v>
      </c>
      <c r="AH28" s="26">
        <v>0.03</v>
      </c>
      <c r="AI28" s="26">
        <v>0.03</v>
      </c>
      <c r="AJ28" s="27">
        <v>0</v>
      </c>
      <c r="AK28" s="27">
        <v>0.81</v>
      </c>
      <c r="AL28" s="27">
        <v>0.8</v>
      </c>
      <c r="AM28" s="27">
        <v>0.79</v>
      </c>
      <c r="AN28" s="27">
        <v>0.78</v>
      </c>
      <c r="AO28" s="27">
        <v>0.76</v>
      </c>
      <c r="AP28" s="28">
        <v>2468.4</v>
      </c>
      <c r="AQ28" s="28">
        <v>2583.15</v>
      </c>
      <c r="AR28" s="28">
        <v>2560.1999999999998</v>
      </c>
      <c r="AS28" s="28">
        <v>2583.15</v>
      </c>
      <c r="AT28" s="28">
        <v>2565.3000000000002</v>
      </c>
      <c r="AU28" s="28">
        <v>2575.5</v>
      </c>
      <c r="AV28" s="29">
        <v>2904</v>
      </c>
      <c r="AW28" s="29">
        <v>3039</v>
      </c>
      <c r="AX28" s="29">
        <v>3012</v>
      </c>
      <c r="AY28" s="29">
        <v>3039</v>
      </c>
      <c r="AZ28" s="29">
        <v>3018</v>
      </c>
      <c r="BA28" s="29">
        <v>3030</v>
      </c>
      <c r="BB28" s="30">
        <v>0</v>
      </c>
      <c r="BC28" s="30">
        <v>6611</v>
      </c>
      <c r="BD28" s="30">
        <v>6611</v>
      </c>
      <c r="BE28" s="30">
        <v>6611</v>
      </c>
      <c r="BF28" s="30">
        <v>6611</v>
      </c>
      <c r="BG28" s="30">
        <v>6611</v>
      </c>
    </row>
    <row r="29" spans="1:59" ht="15.75" thickBot="1" x14ac:dyDescent="0.3">
      <c r="A29" s="19" t="s">
        <v>609</v>
      </c>
      <c r="B29" s="19" t="s">
        <v>533</v>
      </c>
      <c r="C29" s="20">
        <v>1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1">
        <v>1</v>
      </c>
      <c r="J29" s="22">
        <v>2.56</v>
      </c>
      <c r="K29" s="22">
        <v>2.67</v>
      </c>
      <c r="L29" s="22">
        <v>3.02</v>
      </c>
      <c r="M29" s="22">
        <v>3.33</v>
      </c>
      <c r="N29" s="22">
        <v>3.67</v>
      </c>
      <c r="O29" s="22">
        <v>3.82</v>
      </c>
      <c r="P29" s="23">
        <v>85</v>
      </c>
      <c r="Q29" s="23">
        <v>0</v>
      </c>
      <c r="R29" s="24">
        <v>85</v>
      </c>
      <c r="S29" s="24">
        <v>85</v>
      </c>
      <c r="T29" s="24">
        <v>85</v>
      </c>
      <c r="U29" s="24">
        <v>85</v>
      </c>
      <c r="V29" s="24">
        <v>85</v>
      </c>
      <c r="W29" s="24">
        <v>85</v>
      </c>
      <c r="X29" s="25">
        <v>0.33</v>
      </c>
      <c r="Y29" s="25">
        <v>0.28000000000000003</v>
      </c>
      <c r="Z29" s="25">
        <v>0.28000000000000003</v>
      </c>
      <c r="AA29" s="25">
        <v>0.28000000000000003</v>
      </c>
      <c r="AB29" s="25">
        <v>0.27</v>
      </c>
      <c r="AC29" s="25">
        <v>0.27</v>
      </c>
      <c r="AD29" s="26">
        <v>0.28000000000000003</v>
      </c>
      <c r="AE29" s="26">
        <v>0.24</v>
      </c>
      <c r="AF29" s="26">
        <v>0.24</v>
      </c>
      <c r="AG29" s="26">
        <v>0.23</v>
      </c>
      <c r="AH29" s="26">
        <v>0.23</v>
      </c>
      <c r="AI29" s="26">
        <v>0.23</v>
      </c>
      <c r="AJ29" s="27">
        <v>8.25</v>
      </c>
      <c r="AK29" s="27">
        <v>7.36</v>
      </c>
      <c r="AL29" s="27">
        <v>7.25</v>
      </c>
      <c r="AM29" s="27">
        <v>7.13</v>
      </c>
      <c r="AN29" s="27">
        <v>7.02</v>
      </c>
      <c r="AO29" s="27">
        <v>6.91</v>
      </c>
      <c r="AP29" s="28">
        <v>2468.4</v>
      </c>
      <c r="AQ29" s="28">
        <v>2583.15</v>
      </c>
      <c r="AR29" s="28">
        <v>2560.1999999999998</v>
      </c>
      <c r="AS29" s="28">
        <v>2583.15</v>
      </c>
      <c r="AT29" s="28">
        <v>2565.3000000000002</v>
      </c>
      <c r="AU29" s="28">
        <v>2575.5</v>
      </c>
      <c r="AV29" s="29">
        <v>2904</v>
      </c>
      <c r="AW29" s="29">
        <v>3039</v>
      </c>
      <c r="AX29" s="29">
        <v>3012</v>
      </c>
      <c r="AY29" s="29">
        <v>3039</v>
      </c>
      <c r="AZ29" s="29">
        <v>3018</v>
      </c>
      <c r="BA29" s="29">
        <v>3030</v>
      </c>
      <c r="BB29" s="30">
        <v>62519</v>
      </c>
      <c r="BC29" s="30">
        <v>56626</v>
      </c>
      <c r="BD29" s="30">
        <v>56626</v>
      </c>
      <c r="BE29" s="30">
        <v>56626</v>
      </c>
      <c r="BF29" s="30">
        <v>56626</v>
      </c>
      <c r="BG29" s="30">
        <v>56626</v>
      </c>
    </row>
    <row r="30" spans="1:59" ht="15.75" thickBot="1" x14ac:dyDescent="0.3">
      <c r="A30" s="19" t="s">
        <v>610</v>
      </c>
      <c r="B30" s="19" t="s">
        <v>534</v>
      </c>
      <c r="C30" s="20">
        <v>1</v>
      </c>
      <c r="D30" s="20">
        <v>1</v>
      </c>
      <c r="E30" s="20">
        <v>1</v>
      </c>
      <c r="F30" s="20">
        <v>1</v>
      </c>
      <c r="G30" s="20">
        <v>1</v>
      </c>
      <c r="H30" s="20">
        <v>1</v>
      </c>
      <c r="I30" s="21">
        <v>1</v>
      </c>
      <c r="J30" s="22">
        <v>2.56</v>
      </c>
      <c r="K30" s="22">
        <v>2.67</v>
      </c>
      <c r="L30" s="22">
        <v>3.02</v>
      </c>
      <c r="M30" s="22">
        <v>3.33</v>
      </c>
      <c r="N30" s="22">
        <v>3.67</v>
      </c>
      <c r="O30" s="22">
        <v>3.82</v>
      </c>
      <c r="P30" s="23">
        <v>85</v>
      </c>
      <c r="Q30" s="23">
        <v>0</v>
      </c>
      <c r="R30" s="24">
        <v>85</v>
      </c>
      <c r="S30" s="24">
        <v>85</v>
      </c>
      <c r="T30" s="24">
        <v>85</v>
      </c>
      <c r="U30" s="24">
        <v>85</v>
      </c>
      <c r="V30" s="24">
        <v>85</v>
      </c>
      <c r="W30" s="24">
        <v>85</v>
      </c>
      <c r="X30" s="25">
        <v>0.3</v>
      </c>
      <c r="Y30" s="25">
        <v>0.3</v>
      </c>
      <c r="Z30" s="25">
        <v>0.3</v>
      </c>
      <c r="AA30" s="25">
        <v>0.28999999999999998</v>
      </c>
      <c r="AB30" s="25">
        <v>0.28999999999999998</v>
      </c>
      <c r="AC30" s="25">
        <v>0.28000000000000003</v>
      </c>
      <c r="AD30" s="26">
        <v>0.25</v>
      </c>
      <c r="AE30" s="26">
        <v>0.26</v>
      </c>
      <c r="AF30" s="26">
        <v>0.25</v>
      </c>
      <c r="AG30" s="26">
        <v>0.25</v>
      </c>
      <c r="AH30" s="26">
        <v>0.25</v>
      </c>
      <c r="AI30" s="26">
        <v>0.24</v>
      </c>
      <c r="AJ30" s="27">
        <v>7.36</v>
      </c>
      <c r="AK30" s="27">
        <v>7.79</v>
      </c>
      <c r="AL30" s="27">
        <v>7.67</v>
      </c>
      <c r="AM30" s="27">
        <v>7.56</v>
      </c>
      <c r="AN30" s="27">
        <v>7.44</v>
      </c>
      <c r="AO30" s="27">
        <v>7.32</v>
      </c>
      <c r="AP30" s="28">
        <v>2468.4</v>
      </c>
      <c r="AQ30" s="28">
        <v>2583.15</v>
      </c>
      <c r="AR30" s="28">
        <v>2560.1999999999998</v>
      </c>
      <c r="AS30" s="28">
        <v>2583.15</v>
      </c>
      <c r="AT30" s="28">
        <v>2565.3000000000002</v>
      </c>
      <c r="AU30" s="28">
        <v>2575.5</v>
      </c>
      <c r="AV30" s="29">
        <v>2904</v>
      </c>
      <c r="AW30" s="29">
        <v>3039</v>
      </c>
      <c r="AX30" s="29">
        <v>3012</v>
      </c>
      <c r="AY30" s="29">
        <v>3039</v>
      </c>
      <c r="AZ30" s="29">
        <v>3018</v>
      </c>
      <c r="BA30" s="29">
        <v>3030</v>
      </c>
      <c r="BB30" s="30">
        <v>69922</v>
      </c>
      <c r="BC30" s="30">
        <v>75160</v>
      </c>
      <c r="BD30" s="30">
        <v>75160</v>
      </c>
      <c r="BE30" s="30">
        <v>75160</v>
      </c>
      <c r="BF30" s="30">
        <v>75160</v>
      </c>
      <c r="BG30" s="30">
        <v>75160</v>
      </c>
    </row>
    <row r="31" spans="1:59" ht="15.75" thickBot="1" x14ac:dyDescent="0.3">
      <c r="A31" s="19" t="s">
        <v>611</v>
      </c>
      <c r="B31" s="19" t="s">
        <v>612</v>
      </c>
      <c r="C31" s="20">
        <v>1</v>
      </c>
      <c r="D31" s="20">
        <v>1</v>
      </c>
      <c r="E31" s="20">
        <v>1</v>
      </c>
      <c r="F31" s="20">
        <v>1</v>
      </c>
      <c r="G31" s="20">
        <v>1</v>
      </c>
      <c r="H31" s="20">
        <v>1</v>
      </c>
      <c r="I31" s="21">
        <v>1</v>
      </c>
      <c r="J31" s="22">
        <v>2.56</v>
      </c>
      <c r="K31" s="22">
        <v>2.67</v>
      </c>
      <c r="L31" s="22">
        <v>3.02</v>
      </c>
      <c r="M31" s="22">
        <v>3.33</v>
      </c>
      <c r="N31" s="22">
        <v>3.67</v>
      </c>
      <c r="O31" s="22">
        <v>3.82</v>
      </c>
      <c r="P31" s="23">
        <v>85</v>
      </c>
      <c r="Q31" s="23">
        <v>0</v>
      </c>
      <c r="R31" s="24">
        <v>85</v>
      </c>
      <c r="S31" s="24">
        <v>85</v>
      </c>
      <c r="T31" s="24">
        <v>85</v>
      </c>
      <c r="U31" s="24">
        <v>85</v>
      </c>
      <c r="V31" s="24">
        <v>85</v>
      </c>
      <c r="W31" s="24">
        <v>85</v>
      </c>
      <c r="X31" s="25">
        <v>0.11</v>
      </c>
      <c r="Y31" s="25">
        <v>0.16</v>
      </c>
      <c r="Z31" s="25">
        <v>0.13</v>
      </c>
      <c r="AA31" s="25">
        <v>0.11</v>
      </c>
      <c r="AB31" s="25">
        <v>0.08</v>
      </c>
      <c r="AC31" s="25">
        <v>7.0000000000000007E-2</v>
      </c>
      <c r="AD31" s="26">
        <v>0.1</v>
      </c>
      <c r="AE31" s="26">
        <v>0.13</v>
      </c>
      <c r="AF31" s="26">
        <v>0.11</v>
      </c>
      <c r="AG31" s="26">
        <v>0.09</v>
      </c>
      <c r="AH31" s="26">
        <v>7.0000000000000007E-2</v>
      </c>
      <c r="AI31" s="26">
        <v>0.06</v>
      </c>
      <c r="AJ31" s="27">
        <v>2.78</v>
      </c>
      <c r="AK31" s="27">
        <v>4.09</v>
      </c>
      <c r="AL31" s="27">
        <v>3.41</v>
      </c>
      <c r="AM31" s="27">
        <v>2.75</v>
      </c>
      <c r="AN31" s="27">
        <v>2.1</v>
      </c>
      <c r="AO31" s="27">
        <v>1.77</v>
      </c>
      <c r="AP31" s="28">
        <v>2468.4</v>
      </c>
      <c r="AQ31" s="28">
        <v>2583.15</v>
      </c>
      <c r="AR31" s="28">
        <v>2560.1999999999998</v>
      </c>
      <c r="AS31" s="28">
        <v>2583.15</v>
      </c>
      <c r="AT31" s="28">
        <v>2565.3000000000002</v>
      </c>
      <c r="AU31" s="28">
        <v>2575.5</v>
      </c>
      <c r="AV31" s="29">
        <v>2904</v>
      </c>
      <c r="AW31" s="29">
        <v>3039</v>
      </c>
      <c r="AX31" s="29">
        <v>3012</v>
      </c>
      <c r="AY31" s="29">
        <v>3039</v>
      </c>
      <c r="AZ31" s="29">
        <v>3018</v>
      </c>
      <c r="BA31" s="29">
        <v>3030</v>
      </c>
      <c r="BB31" s="30">
        <v>20000</v>
      </c>
      <c r="BC31" s="30">
        <v>29934</v>
      </c>
      <c r="BD31" s="30">
        <v>25329</v>
      </c>
      <c r="BE31" s="30">
        <v>20724</v>
      </c>
      <c r="BF31" s="30">
        <v>16119</v>
      </c>
      <c r="BG31" s="30">
        <v>13816</v>
      </c>
    </row>
    <row r="32" spans="1:59" ht="15.75" thickBot="1" x14ac:dyDescent="0.3">
      <c r="A32" s="19" t="s">
        <v>613</v>
      </c>
      <c r="B32" s="19" t="s">
        <v>535</v>
      </c>
      <c r="C32" s="20">
        <v>1</v>
      </c>
      <c r="D32" s="20">
        <v>1</v>
      </c>
      <c r="E32" s="20">
        <v>1</v>
      </c>
      <c r="F32" s="20">
        <v>1</v>
      </c>
      <c r="G32" s="20">
        <v>1</v>
      </c>
      <c r="H32" s="20">
        <v>1</v>
      </c>
      <c r="I32" s="21">
        <v>1</v>
      </c>
      <c r="J32" s="22">
        <v>2.56</v>
      </c>
      <c r="K32" s="22">
        <v>2.67</v>
      </c>
      <c r="L32" s="22">
        <v>3.02</v>
      </c>
      <c r="M32" s="22">
        <v>3.33</v>
      </c>
      <c r="N32" s="22">
        <v>3.67</v>
      </c>
      <c r="O32" s="22">
        <v>3.82</v>
      </c>
      <c r="P32" s="23">
        <v>85</v>
      </c>
      <c r="Q32" s="23">
        <v>0</v>
      </c>
      <c r="R32" s="24">
        <v>85</v>
      </c>
      <c r="S32" s="24">
        <v>85</v>
      </c>
      <c r="T32" s="24">
        <v>85</v>
      </c>
      <c r="U32" s="24">
        <v>85</v>
      </c>
      <c r="V32" s="24">
        <v>85</v>
      </c>
      <c r="W32" s="24">
        <v>85</v>
      </c>
      <c r="X32" s="25">
        <v>0.56000000000000005</v>
      </c>
      <c r="Y32" s="25">
        <v>0.57999999999999996</v>
      </c>
      <c r="Z32" s="25">
        <v>0.57999999999999996</v>
      </c>
      <c r="AA32" s="25">
        <v>0.56999999999999995</v>
      </c>
      <c r="AB32" s="25">
        <v>0.56000000000000005</v>
      </c>
      <c r="AC32" s="25">
        <v>0.55000000000000004</v>
      </c>
      <c r="AD32" s="26">
        <v>0.47</v>
      </c>
      <c r="AE32" s="26">
        <v>0.5</v>
      </c>
      <c r="AF32" s="26">
        <v>0.49</v>
      </c>
      <c r="AG32" s="26">
        <v>0.48</v>
      </c>
      <c r="AH32" s="26">
        <v>0.48</v>
      </c>
      <c r="AI32" s="26">
        <v>0.47</v>
      </c>
      <c r="AJ32" s="27">
        <v>13.77</v>
      </c>
      <c r="AK32" s="27">
        <v>15.09</v>
      </c>
      <c r="AL32" s="27">
        <v>14.86</v>
      </c>
      <c r="AM32" s="27">
        <v>14.63</v>
      </c>
      <c r="AN32" s="27">
        <v>14.4</v>
      </c>
      <c r="AO32" s="27">
        <v>14.17</v>
      </c>
      <c r="AP32" s="28">
        <v>2468.4</v>
      </c>
      <c r="AQ32" s="28">
        <v>2583.15</v>
      </c>
      <c r="AR32" s="28">
        <v>2560.1999999999998</v>
      </c>
      <c r="AS32" s="28">
        <v>2583.15</v>
      </c>
      <c r="AT32" s="28">
        <v>2565.3000000000002</v>
      </c>
      <c r="AU32" s="28">
        <v>2575.5</v>
      </c>
      <c r="AV32" s="29">
        <v>2904</v>
      </c>
      <c r="AW32" s="29">
        <v>3039</v>
      </c>
      <c r="AX32" s="29">
        <v>3012</v>
      </c>
      <c r="AY32" s="29">
        <v>3039</v>
      </c>
      <c r="AZ32" s="29">
        <v>3018</v>
      </c>
      <c r="BA32" s="29">
        <v>3030</v>
      </c>
      <c r="BB32" s="30">
        <v>110141</v>
      </c>
      <c r="BC32" s="30">
        <v>122524</v>
      </c>
      <c r="BD32" s="30">
        <v>122524</v>
      </c>
      <c r="BE32" s="30">
        <v>122524</v>
      </c>
      <c r="BF32" s="30">
        <v>122524</v>
      </c>
      <c r="BG32" s="30">
        <v>122524</v>
      </c>
    </row>
    <row r="33" spans="1:59" ht="15.75" thickBot="1" x14ac:dyDescent="0.3">
      <c r="A33" s="19" t="s">
        <v>614</v>
      </c>
      <c r="B33" s="19" t="s">
        <v>536</v>
      </c>
      <c r="C33" s="20">
        <v>1</v>
      </c>
      <c r="D33" s="20">
        <v>1</v>
      </c>
      <c r="E33" s="20">
        <v>1</v>
      </c>
      <c r="F33" s="20">
        <v>1</v>
      </c>
      <c r="G33" s="20">
        <v>1</v>
      </c>
      <c r="H33" s="20">
        <v>1</v>
      </c>
      <c r="I33" s="21">
        <v>1</v>
      </c>
      <c r="J33" s="22">
        <v>2.56</v>
      </c>
      <c r="K33" s="22">
        <v>2.67</v>
      </c>
      <c r="L33" s="22">
        <v>3.02</v>
      </c>
      <c r="M33" s="22">
        <v>3.33</v>
      </c>
      <c r="N33" s="22">
        <v>3.67</v>
      </c>
      <c r="O33" s="22">
        <v>3.82</v>
      </c>
      <c r="P33" s="23">
        <v>85</v>
      </c>
      <c r="Q33" s="23">
        <v>0</v>
      </c>
      <c r="R33" s="24">
        <v>85</v>
      </c>
      <c r="S33" s="24">
        <v>85</v>
      </c>
      <c r="T33" s="24">
        <v>85</v>
      </c>
      <c r="U33" s="24">
        <v>85</v>
      </c>
      <c r="V33" s="24">
        <v>85</v>
      </c>
      <c r="W33" s="24">
        <v>85</v>
      </c>
      <c r="X33" s="25">
        <v>0</v>
      </c>
      <c r="Y33" s="25">
        <v>0.06</v>
      </c>
      <c r="Z33" s="25">
        <v>0.06</v>
      </c>
      <c r="AA33" s="25">
        <v>0.06</v>
      </c>
      <c r="AB33" s="25">
        <v>0.06</v>
      </c>
      <c r="AC33" s="25">
        <v>0.06</v>
      </c>
      <c r="AD33" s="26">
        <v>0</v>
      </c>
      <c r="AE33" s="26">
        <v>0.05</v>
      </c>
      <c r="AF33" s="26">
        <v>0.05</v>
      </c>
      <c r="AG33" s="26">
        <v>0.05</v>
      </c>
      <c r="AH33" s="26">
        <v>0.05</v>
      </c>
      <c r="AI33" s="26">
        <v>0.05</v>
      </c>
      <c r="AJ33" s="27">
        <v>0</v>
      </c>
      <c r="AK33" s="27">
        <v>1.58</v>
      </c>
      <c r="AL33" s="27">
        <v>1.55</v>
      </c>
      <c r="AM33" s="27">
        <v>1.53</v>
      </c>
      <c r="AN33" s="27">
        <v>1.51</v>
      </c>
      <c r="AO33" s="27">
        <v>1.48</v>
      </c>
      <c r="AP33" s="28">
        <v>2468.4</v>
      </c>
      <c r="AQ33" s="28">
        <v>2583.15</v>
      </c>
      <c r="AR33" s="28">
        <v>2560.1999999999998</v>
      </c>
      <c r="AS33" s="28">
        <v>2583.15</v>
      </c>
      <c r="AT33" s="28">
        <v>2565.3000000000002</v>
      </c>
      <c r="AU33" s="28">
        <v>2575.5</v>
      </c>
      <c r="AV33" s="29">
        <v>2904</v>
      </c>
      <c r="AW33" s="29">
        <v>3039</v>
      </c>
      <c r="AX33" s="29">
        <v>3012</v>
      </c>
      <c r="AY33" s="29">
        <v>3039</v>
      </c>
      <c r="AZ33" s="29">
        <v>3018</v>
      </c>
      <c r="BA33" s="29">
        <v>3030</v>
      </c>
      <c r="BB33" s="30">
        <v>0</v>
      </c>
      <c r="BC33" s="30">
        <v>12822</v>
      </c>
      <c r="BD33" s="30">
        <v>12822</v>
      </c>
      <c r="BE33" s="30">
        <v>12822</v>
      </c>
      <c r="BF33" s="30">
        <v>12822</v>
      </c>
      <c r="BG33" s="30">
        <v>12822</v>
      </c>
    </row>
    <row r="34" spans="1:59" ht="15.75" thickBot="1" x14ac:dyDescent="0.3">
      <c r="A34" s="19" t="s">
        <v>615</v>
      </c>
      <c r="B34" s="19" t="s">
        <v>616</v>
      </c>
      <c r="C34" s="20">
        <v>1</v>
      </c>
      <c r="D34" s="20">
        <v>1</v>
      </c>
      <c r="E34" s="20">
        <v>1</v>
      </c>
      <c r="F34" s="20">
        <v>1</v>
      </c>
      <c r="G34" s="20">
        <v>1</v>
      </c>
      <c r="H34" s="20">
        <v>1</v>
      </c>
      <c r="I34" s="21">
        <v>1</v>
      </c>
      <c r="J34" s="22">
        <v>2.56</v>
      </c>
      <c r="K34" s="22">
        <v>2.67</v>
      </c>
      <c r="L34" s="22">
        <v>3.02</v>
      </c>
      <c r="M34" s="22">
        <v>3.33</v>
      </c>
      <c r="N34" s="22">
        <v>3.67</v>
      </c>
      <c r="O34" s="22">
        <v>3.82</v>
      </c>
      <c r="P34" s="23">
        <v>85</v>
      </c>
      <c r="Q34" s="23">
        <v>0</v>
      </c>
      <c r="R34" s="24">
        <v>85</v>
      </c>
      <c r="S34" s="24">
        <v>85</v>
      </c>
      <c r="T34" s="24">
        <v>85</v>
      </c>
      <c r="U34" s="24">
        <v>85</v>
      </c>
      <c r="V34" s="24">
        <v>85</v>
      </c>
      <c r="W34" s="24">
        <v>85</v>
      </c>
      <c r="X34" s="25">
        <v>4.57</v>
      </c>
      <c r="Y34" s="25">
        <v>1.95</v>
      </c>
      <c r="Z34" s="25">
        <v>1.64</v>
      </c>
      <c r="AA34" s="25">
        <v>1.31</v>
      </c>
      <c r="AB34" s="25">
        <v>1.01</v>
      </c>
      <c r="AC34" s="25">
        <v>0.85</v>
      </c>
      <c r="AD34" s="26">
        <v>3.89</v>
      </c>
      <c r="AE34" s="26">
        <v>1.66</v>
      </c>
      <c r="AF34" s="26">
        <v>1.39</v>
      </c>
      <c r="AG34" s="26">
        <v>1.1100000000000001</v>
      </c>
      <c r="AH34" s="26">
        <v>0.86</v>
      </c>
      <c r="AI34" s="26">
        <v>0.72</v>
      </c>
      <c r="AJ34" s="27">
        <v>112.92</v>
      </c>
      <c r="AK34" s="27">
        <v>50.32</v>
      </c>
      <c r="AL34" s="27">
        <v>41.93</v>
      </c>
      <c r="AM34" s="27">
        <v>33.78</v>
      </c>
      <c r="AN34" s="27">
        <v>25.86</v>
      </c>
      <c r="AO34" s="27">
        <v>21.81</v>
      </c>
      <c r="AP34" s="28">
        <v>2468.4</v>
      </c>
      <c r="AQ34" s="28">
        <v>2583.15</v>
      </c>
      <c r="AR34" s="28">
        <v>2560.1999999999998</v>
      </c>
      <c r="AS34" s="28">
        <v>2583.15</v>
      </c>
      <c r="AT34" s="28">
        <v>2565.3000000000002</v>
      </c>
      <c r="AU34" s="28">
        <v>2575.5</v>
      </c>
      <c r="AV34" s="29">
        <v>2904</v>
      </c>
      <c r="AW34" s="29">
        <v>3039</v>
      </c>
      <c r="AX34" s="29">
        <v>3012</v>
      </c>
      <c r="AY34" s="29">
        <v>3039</v>
      </c>
      <c r="AZ34" s="29">
        <v>3018</v>
      </c>
      <c r="BA34" s="29">
        <v>3030</v>
      </c>
      <c r="BB34" s="30">
        <v>772748</v>
      </c>
      <c r="BC34" s="30">
        <v>349614</v>
      </c>
      <c r="BD34" s="30">
        <v>295827</v>
      </c>
      <c r="BE34" s="30">
        <v>242041</v>
      </c>
      <c r="BF34" s="30">
        <v>188254</v>
      </c>
      <c r="BG34" s="30">
        <v>161360</v>
      </c>
    </row>
    <row r="35" spans="1:59" ht="15.75" thickBot="1" x14ac:dyDescent="0.3">
      <c r="A35" s="19" t="s">
        <v>617</v>
      </c>
      <c r="B35" s="19" t="s">
        <v>537</v>
      </c>
      <c r="C35" s="20">
        <v>1</v>
      </c>
      <c r="D35" s="20">
        <v>1</v>
      </c>
      <c r="E35" s="20">
        <v>1</v>
      </c>
      <c r="F35" s="20">
        <v>1</v>
      </c>
      <c r="G35" s="20">
        <v>1</v>
      </c>
      <c r="H35" s="20">
        <v>1</v>
      </c>
      <c r="I35" s="21">
        <v>1</v>
      </c>
      <c r="J35" s="22">
        <v>2.56</v>
      </c>
      <c r="K35" s="22">
        <v>2.67</v>
      </c>
      <c r="L35" s="22">
        <v>3.02</v>
      </c>
      <c r="M35" s="22">
        <v>3.33</v>
      </c>
      <c r="N35" s="22">
        <v>3.67</v>
      </c>
      <c r="O35" s="22">
        <v>3.82</v>
      </c>
      <c r="P35" s="23">
        <v>85</v>
      </c>
      <c r="Q35" s="23">
        <v>0</v>
      </c>
      <c r="R35" s="24">
        <v>85</v>
      </c>
      <c r="S35" s="24">
        <v>85</v>
      </c>
      <c r="T35" s="24">
        <v>85</v>
      </c>
      <c r="U35" s="24">
        <v>85</v>
      </c>
      <c r="V35" s="24">
        <v>85</v>
      </c>
      <c r="W35" s="24">
        <v>85</v>
      </c>
      <c r="X35" s="25">
        <v>3.39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6">
        <v>2.88</v>
      </c>
      <c r="AE35" s="26">
        <v>0</v>
      </c>
      <c r="AF35" s="26">
        <v>0</v>
      </c>
      <c r="AG35" s="26">
        <v>0</v>
      </c>
      <c r="AH35" s="26">
        <v>0</v>
      </c>
      <c r="AI35" s="26">
        <v>0</v>
      </c>
      <c r="AJ35" s="27">
        <v>83.6</v>
      </c>
      <c r="AK35" s="27">
        <v>0</v>
      </c>
      <c r="AL35" s="27">
        <v>0</v>
      </c>
      <c r="AM35" s="27">
        <v>0</v>
      </c>
      <c r="AN35" s="27">
        <v>0</v>
      </c>
      <c r="AO35" s="27">
        <v>0</v>
      </c>
      <c r="AP35" s="28">
        <v>2468.4</v>
      </c>
      <c r="AQ35" s="28">
        <v>2583.15</v>
      </c>
      <c r="AR35" s="28">
        <v>2560.1999999999998</v>
      </c>
      <c r="AS35" s="28">
        <v>2583.15</v>
      </c>
      <c r="AT35" s="28">
        <v>2565.3000000000002</v>
      </c>
      <c r="AU35" s="28">
        <v>2575.5</v>
      </c>
      <c r="AV35" s="29">
        <v>2904</v>
      </c>
      <c r="AW35" s="29">
        <v>3039</v>
      </c>
      <c r="AX35" s="29">
        <v>3012</v>
      </c>
      <c r="AY35" s="29">
        <v>3039</v>
      </c>
      <c r="AZ35" s="29">
        <v>3018</v>
      </c>
      <c r="BA35" s="29">
        <v>3030</v>
      </c>
      <c r="BB35" s="30">
        <v>418000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</row>
    <row r="36" spans="1:59" ht="15.75" thickBot="1" x14ac:dyDescent="0.3">
      <c r="A36" s="19" t="s">
        <v>618</v>
      </c>
      <c r="B36" s="19" t="s">
        <v>538</v>
      </c>
      <c r="C36" s="20">
        <v>1</v>
      </c>
      <c r="D36" s="20">
        <v>1</v>
      </c>
      <c r="E36" s="20">
        <v>1</v>
      </c>
      <c r="F36" s="20">
        <v>1</v>
      </c>
      <c r="G36" s="20">
        <v>1</v>
      </c>
      <c r="H36" s="20">
        <v>1</v>
      </c>
      <c r="I36" s="21">
        <v>1</v>
      </c>
      <c r="J36" s="22">
        <v>2.56</v>
      </c>
      <c r="K36" s="22">
        <v>2.67</v>
      </c>
      <c r="L36" s="22">
        <v>3.02</v>
      </c>
      <c r="M36" s="22">
        <v>3.33</v>
      </c>
      <c r="N36" s="22">
        <v>3.67</v>
      </c>
      <c r="O36" s="22">
        <v>3.82</v>
      </c>
      <c r="P36" s="23">
        <v>85</v>
      </c>
      <c r="Q36" s="23">
        <v>0</v>
      </c>
      <c r="R36" s="24">
        <v>85</v>
      </c>
      <c r="S36" s="24">
        <v>85</v>
      </c>
      <c r="T36" s="24">
        <v>85</v>
      </c>
      <c r="U36" s="24">
        <v>85</v>
      </c>
      <c r="V36" s="24">
        <v>85</v>
      </c>
      <c r="W36" s="24">
        <v>85</v>
      </c>
      <c r="X36" s="25">
        <v>1.45</v>
      </c>
      <c r="Y36" s="25">
        <v>0.84</v>
      </c>
      <c r="Z36" s="25">
        <v>0.84</v>
      </c>
      <c r="AA36" s="25">
        <v>0.82</v>
      </c>
      <c r="AB36" s="25">
        <v>0.81</v>
      </c>
      <c r="AC36" s="25">
        <v>0.79</v>
      </c>
      <c r="AD36" s="26">
        <v>1.23</v>
      </c>
      <c r="AE36" s="26">
        <v>0.72</v>
      </c>
      <c r="AF36" s="26">
        <v>0.71</v>
      </c>
      <c r="AG36" s="26">
        <v>0.69</v>
      </c>
      <c r="AH36" s="26">
        <v>0.69</v>
      </c>
      <c r="AI36" s="26">
        <v>0.68</v>
      </c>
      <c r="AJ36" s="27">
        <v>35.729999999999997</v>
      </c>
      <c r="AK36" s="27">
        <v>21.78</v>
      </c>
      <c r="AL36" s="27">
        <v>21.45</v>
      </c>
      <c r="AM36" s="27">
        <v>21.12</v>
      </c>
      <c r="AN36" s="27">
        <v>20.79</v>
      </c>
      <c r="AO36" s="27">
        <v>20.46</v>
      </c>
      <c r="AP36" s="28">
        <v>2468.4</v>
      </c>
      <c r="AQ36" s="28">
        <v>2583.15</v>
      </c>
      <c r="AR36" s="28">
        <v>2560.1999999999998</v>
      </c>
      <c r="AS36" s="28">
        <v>2583.15</v>
      </c>
      <c r="AT36" s="28">
        <v>2565.3000000000002</v>
      </c>
      <c r="AU36" s="28">
        <v>2575.5</v>
      </c>
      <c r="AV36" s="29">
        <v>2904</v>
      </c>
      <c r="AW36" s="29">
        <v>3039</v>
      </c>
      <c r="AX36" s="29">
        <v>3012</v>
      </c>
      <c r="AY36" s="29">
        <v>3039</v>
      </c>
      <c r="AZ36" s="29">
        <v>3018</v>
      </c>
      <c r="BA36" s="29">
        <v>3030</v>
      </c>
      <c r="BB36" s="30">
        <v>903865</v>
      </c>
      <c r="BC36" s="30">
        <v>559436</v>
      </c>
      <c r="BD36" s="30">
        <v>559436</v>
      </c>
      <c r="BE36" s="30">
        <v>559436</v>
      </c>
      <c r="BF36" s="30">
        <v>559436</v>
      </c>
      <c r="BG36" s="30">
        <v>559436</v>
      </c>
    </row>
    <row r="37" spans="1:59" ht="15.75" thickBot="1" x14ac:dyDescent="0.3">
      <c r="A37" s="19" t="s">
        <v>619</v>
      </c>
      <c r="B37" s="19" t="s">
        <v>539</v>
      </c>
      <c r="C37" s="20">
        <v>1</v>
      </c>
      <c r="D37" s="20">
        <v>1</v>
      </c>
      <c r="E37" s="20">
        <v>1</v>
      </c>
      <c r="F37" s="20">
        <v>1</v>
      </c>
      <c r="G37" s="20">
        <v>1</v>
      </c>
      <c r="H37" s="20">
        <v>1</v>
      </c>
      <c r="I37" s="21">
        <v>1</v>
      </c>
      <c r="J37" s="22">
        <v>2.56</v>
      </c>
      <c r="K37" s="22">
        <v>2.67</v>
      </c>
      <c r="L37" s="22">
        <v>3.02</v>
      </c>
      <c r="M37" s="22">
        <v>3.33</v>
      </c>
      <c r="N37" s="22">
        <v>3.67</v>
      </c>
      <c r="O37" s="22">
        <v>3.82</v>
      </c>
      <c r="P37" s="23">
        <v>85</v>
      </c>
      <c r="Q37" s="23">
        <v>0</v>
      </c>
      <c r="R37" s="24">
        <v>85</v>
      </c>
      <c r="S37" s="24">
        <v>85</v>
      </c>
      <c r="T37" s="24">
        <v>85</v>
      </c>
      <c r="U37" s="24">
        <v>85</v>
      </c>
      <c r="V37" s="24">
        <v>85</v>
      </c>
      <c r="W37" s="24">
        <v>85</v>
      </c>
      <c r="X37" s="25">
        <v>2.99</v>
      </c>
      <c r="Y37" s="25">
        <v>2.12</v>
      </c>
      <c r="Z37" s="25">
        <v>2.11</v>
      </c>
      <c r="AA37" s="25">
        <v>2.06</v>
      </c>
      <c r="AB37" s="25">
        <v>2.04</v>
      </c>
      <c r="AC37" s="25">
        <v>2</v>
      </c>
      <c r="AD37" s="26">
        <v>2.5499999999999998</v>
      </c>
      <c r="AE37" s="26">
        <v>1.8</v>
      </c>
      <c r="AF37" s="26">
        <v>1.79</v>
      </c>
      <c r="AG37" s="26">
        <v>1.75</v>
      </c>
      <c r="AH37" s="26">
        <v>1.73</v>
      </c>
      <c r="AI37" s="26">
        <v>1.7</v>
      </c>
      <c r="AJ37" s="27">
        <v>73.91</v>
      </c>
      <c r="AK37" s="27">
        <v>54.82</v>
      </c>
      <c r="AL37" s="27">
        <v>53.98</v>
      </c>
      <c r="AM37" s="27">
        <v>53.15</v>
      </c>
      <c r="AN37" s="27">
        <v>52.31</v>
      </c>
      <c r="AO37" s="27">
        <v>51.48</v>
      </c>
      <c r="AP37" s="28">
        <v>2468.4</v>
      </c>
      <c r="AQ37" s="28">
        <v>2583.15</v>
      </c>
      <c r="AR37" s="28">
        <v>2560.1999999999998</v>
      </c>
      <c r="AS37" s="28">
        <v>2583.15</v>
      </c>
      <c r="AT37" s="28">
        <v>2565.3000000000002</v>
      </c>
      <c r="AU37" s="28">
        <v>2575.5</v>
      </c>
      <c r="AV37" s="29">
        <v>2904</v>
      </c>
      <c r="AW37" s="29">
        <v>3039</v>
      </c>
      <c r="AX37" s="29">
        <v>3012</v>
      </c>
      <c r="AY37" s="29">
        <v>3039</v>
      </c>
      <c r="AZ37" s="29">
        <v>3018</v>
      </c>
      <c r="BA37" s="29">
        <v>3030</v>
      </c>
      <c r="BB37" s="30">
        <v>1869518</v>
      </c>
      <c r="BC37" s="30">
        <v>1407735</v>
      </c>
      <c r="BD37" s="30">
        <v>1407735</v>
      </c>
      <c r="BE37" s="30">
        <v>1407735</v>
      </c>
      <c r="BF37" s="30">
        <v>1407735</v>
      </c>
      <c r="BG37" s="30">
        <v>1407735</v>
      </c>
    </row>
    <row r="38" spans="1:59" ht="15.75" thickBot="1" x14ac:dyDescent="0.3">
      <c r="A38" s="19" t="s">
        <v>620</v>
      </c>
      <c r="B38" s="19" t="s">
        <v>540</v>
      </c>
      <c r="C38" s="20">
        <v>1</v>
      </c>
      <c r="D38" s="20">
        <v>1</v>
      </c>
      <c r="E38" s="20">
        <v>1</v>
      </c>
      <c r="F38" s="20">
        <v>1</v>
      </c>
      <c r="G38" s="20">
        <v>1</v>
      </c>
      <c r="H38" s="20">
        <v>1</v>
      </c>
      <c r="I38" s="21">
        <v>1</v>
      </c>
      <c r="J38" s="22">
        <v>2.56</v>
      </c>
      <c r="K38" s="22">
        <v>2.67</v>
      </c>
      <c r="L38" s="22">
        <v>3.02</v>
      </c>
      <c r="M38" s="22">
        <v>3.33</v>
      </c>
      <c r="N38" s="22">
        <v>3.67</v>
      </c>
      <c r="O38" s="22">
        <v>3.82</v>
      </c>
      <c r="P38" s="23">
        <v>85</v>
      </c>
      <c r="Q38" s="23">
        <v>0</v>
      </c>
      <c r="R38" s="24">
        <v>85</v>
      </c>
      <c r="S38" s="24">
        <v>85</v>
      </c>
      <c r="T38" s="24">
        <v>85</v>
      </c>
      <c r="U38" s="24">
        <v>85</v>
      </c>
      <c r="V38" s="24">
        <v>85</v>
      </c>
      <c r="W38" s="24">
        <v>85</v>
      </c>
      <c r="X38" s="25">
        <v>6.53</v>
      </c>
      <c r="Y38" s="25">
        <v>2.4500000000000002</v>
      </c>
      <c r="Z38" s="25">
        <v>2.4300000000000002</v>
      </c>
      <c r="AA38" s="25">
        <v>2.37</v>
      </c>
      <c r="AB38" s="25">
        <v>2.35</v>
      </c>
      <c r="AC38" s="25">
        <v>2.31</v>
      </c>
      <c r="AD38" s="26">
        <v>5.55</v>
      </c>
      <c r="AE38" s="26">
        <v>2.08</v>
      </c>
      <c r="AF38" s="26">
        <v>2.0699999999999998</v>
      </c>
      <c r="AG38" s="26">
        <v>2.02</v>
      </c>
      <c r="AH38" s="26">
        <v>2</v>
      </c>
      <c r="AI38" s="26">
        <v>1.96</v>
      </c>
      <c r="AJ38" s="27">
        <v>161.12</v>
      </c>
      <c r="AK38" s="27">
        <v>63.25</v>
      </c>
      <c r="AL38" s="27">
        <v>62.28</v>
      </c>
      <c r="AM38" s="27">
        <v>61.32</v>
      </c>
      <c r="AN38" s="27">
        <v>60.36</v>
      </c>
      <c r="AO38" s="27">
        <v>59.39</v>
      </c>
      <c r="AP38" s="28">
        <v>2468.4</v>
      </c>
      <c r="AQ38" s="28">
        <v>2583.15</v>
      </c>
      <c r="AR38" s="28">
        <v>2560.1999999999998</v>
      </c>
      <c r="AS38" s="28">
        <v>2583.15</v>
      </c>
      <c r="AT38" s="28">
        <v>2565.3000000000002</v>
      </c>
      <c r="AU38" s="28">
        <v>2575.5</v>
      </c>
      <c r="AV38" s="29">
        <v>2904</v>
      </c>
      <c r="AW38" s="29">
        <v>3039</v>
      </c>
      <c r="AX38" s="29">
        <v>3012</v>
      </c>
      <c r="AY38" s="29">
        <v>3039</v>
      </c>
      <c r="AZ38" s="29">
        <v>3018</v>
      </c>
      <c r="BA38" s="29">
        <v>3030</v>
      </c>
      <c r="BB38" s="30">
        <v>4075544</v>
      </c>
      <c r="BC38" s="30">
        <v>1624210</v>
      </c>
      <c r="BD38" s="30">
        <v>1624210</v>
      </c>
      <c r="BE38" s="30">
        <v>1624210</v>
      </c>
      <c r="BF38" s="30">
        <v>1624210</v>
      </c>
      <c r="BG38" s="30">
        <v>1624210</v>
      </c>
    </row>
    <row r="39" spans="1:59" ht="15.75" thickBot="1" x14ac:dyDescent="0.3">
      <c r="A39" s="19" t="s">
        <v>294</v>
      </c>
      <c r="B39" s="19" t="s">
        <v>275</v>
      </c>
      <c r="C39" s="20">
        <v>1</v>
      </c>
      <c r="D39" s="20">
        <v>1</v>
      </c>
      <c r="E39" s="20">
        <v>1</v>
      </c>
      <c r="F39" s="20">
        <v>1</v>
      </c>
      <c r="G39" s="20">
        <v>1</v>
      </c>
      <c r="H39" s="20">
        <v>1</v>
      </c>
      <c r="I39" s="21">
        <v>1</v>
      </c>
      <c r="J39" s="22">
        <v>2.56</v>
      </c>
      <c r="K39" s="22">
        <v>2.67</v>
      </c>
      <c r="L39" s="22">
        <v>3.02</v>
      </c>
      <c r="M39" s="22">
        <v>3.33</v>
      </c>
      <c r="N39" s="22">
        <v>3.67</v>
      </c>
      <c r="O39" s="22">
        <v>3.82</v>
      </c>
      <c r="P39" s="23">
        <v>85</v>
      </c>
      <c r="Q39" s="23">
        <v>0</v>
      </c>
      <c r="R39" s="24">
        <v>85</v>
      </c>
      <c r="S39" s="24">
        <v>85</v>
      </c>
      <c r="T39" s="24">
        <v>85</v>
      </c>
      <c r="U39" s="24">
        <v>85</v>
      </c>
      <c r="V39" s="24">
        <v>85</v>
      </c>
      <c r="W39" s="24">
        <v>85</v>
      </c>
      <c r="X39" s="25">
        <v>0.14000000000000001</v>
      </c>
      <c r="Y39" s="25">
        <v>0.21</v>
      </c>
      <c r="Z39" s="25">
        <v>0.21</v>
      </c>
      <c r="AA39" s="25">
        <v>0.2</v>
      </c>
      <c r="AB39" s="25">
        <v>0.2</v>
      </c>
      <c r="AC39" s="25">
        <v>0.2</v>
      </c>
      <c r="AD39" s="26">
        <v>0.12</v>
      </c>
      <c r="AE39" s="26">
        <v>0.18</v>
      </c>
      <c r="AF39" s="26">
        <v>0.18</v>
      </c>
      <c r="AG39" s="26">
        <v>0.17</v>
      </c>
      <c r="AH39" s="26">
        <v>0.17</v>
      </c>
      <c r="AI39" s="26">
        <v>0.17</v>
      </c>
      <c r="AJ39" s="27">
        <v>3.34</v>
      </c>
      <c r="AK39" s="27">
        <v>5.37</v>
      </c>
      <c r="AL39" s="27">
        <v>5.29</v>
      </c>
      <c r="AM39" s="27">
        <v>5.21</v>
      </c>
      <c r="AN39" s="27">
        <v>5.12</v>
      </c>
      <c r="AO39" s="27">
        <v>5.04</v>
      </c>
      <c r="AP39" s="28">
        <v>2468.4</v>
      </c>
      <c r="AQ39" s="28">
        <v>2583.15</v>
      </c>
      <c r="AR39" s="28">
        <v>2560.1999999999998</v>
      </c>
      <c r="AS39" s="28">
        <v>2583.15</v>
      </c>
      <c r="AT39" s="28">
        <v>2565.3000000000002</v>
      </c>
      <c r="AU39" s="28">
        <v>2575.5</v>
      </c>
      <c r="AV39" s="29">
        <v>2904</v>
      </c>
      <c r="AW39" s="29">
        <v>3039</v>
      </c>
      <c r="AX39" s="29">
        <v>3012</v>
      </c>
      <c r="AY39" s="29">
        <v>3039</v>
      </c>
      <c r="AZ39" s="29">
        <v>3018</v>
      </c>
      <c r="BA39" s="29">
        <v>3030</v>
      </c>
      <c r="BB39" s="30">
        <v>6409</v>
      </c>
      <c r="BC39" s="30">
        <v>10444</v>
      </c>
      <c r="BD39" s="30">
        <v>10444</v>
      </c>
      <c r="BE39" s="30">
        <v>10444</v>
      </c>
      <c r="BF39" s="30">
        <v>10444</v>
      </c>
      <c r="BG39" s="30">
        <v>10444</v>
      </c>
    </row>
    <row r="40" spans="1:59" ht="15.75" thickBot="1" x14ac:dyDescent="0.3">
      <c r="A40" s="19" t="s">
        <v>295</v>
      </c>
      <c r="B40" s="19" t="s">
        <v>276</v>
      </c>
      <c r="C40" s="20">
        <v>1</v>
      </c>
      <c r="D40" s="20">
        <v>1</v>
      </c>
      <c r="E40" s="20">
        <v>1</v>
      </c>
      <c r="F40" s="20">
        <v>1</v>
      </c>
      <c r="G40" s="20">
        <v>1</v>
      </c>
      <c r="H40" s="20">
        <v>1</v>
      </c>
      <c r="I40" s="21">
        <v>1</v>
      </c>
      <c r="J40" s="22">
        <v>2.56</v>
      </c>
      <c r="K40" s="22">
        <v>2.67</v>
      </c>
      <c r="L40" s="22">
        <v>3.02</v>
      </c>
      <c r="M40" s="22">
        <v>3.33</v>
      </c>
      <c r="N40" s="22">
        <v>3.67</v>
      </c>
      <c r="O40" s="22">
        <v>3.82</v>
      </c>
      <c r="P40" s="23">
        <v>85</v>
      </c>
      <c r="Q40" s="23">
        <v>0</v>
      </c>
      <c r="R40" s="24">
        <v>85</v>
      </c>
      <c r="S40" s="24">
        <v>85</v>
      </c>
      <c r="T40" s="24">
        <v>85</v>
      </c>
      <c r="U40" s="24">
        <v>85</v>
      </c>
      <c r="V40" s="24">
        <v>85</v>
      </c>
      <c r="W40" s="24">
        <v>85</v>
      </c>
      <c r="X40" s="25">
        <v>0.6</v>
      </c>
      <c r="Y40" s="25">
        <v>0.41</v>
      </c>
      <c r="Z40" s="25">
        <v>0.41</v>
      </c>
      <c r="AA40" s="25">
        <v>0.4</v>
      </c>
      <c r="AB40" s="25">
        <v>0.39</v>
      </c>
      <c r="AC40" s="25">
        <v>0.38</v>
      </c>
      <c r="AD40" s="26">
        <v>0.51</v>
      </c>
      <c r="AE40" s="26">
        <v>0.35</v>
      </c>
      <c r="AF40" s="26">
        <v>0.35</v>
      </c>
      <c r="AG40" s="26">
        <v>0.34</v>
      </c>
      <c r="AH40" s="26">
        <v>0.33</v>
      </c>
      <c r="AI40" s="26">
        <v>0.33</v>
      </c>
      <c r="AJ40" s="27">
        <v>14.78</v>
      </c>
      <c r="AK40" s="27">
        <v>10.56</v>
      </c>
      <c r="AL40" s="27">
        <v>10.4</v>
      </c>
      <c r="AM40" s="27">
        <v>10.23</v>
      </c>
      <c r="AN40" s="27">
        <v>10.07</v>
      </c>
      <c r="AO40" s="27">
        <v>9.91</v>
      </c>
      <c r="AP40" s="28">
        <v>2468.4</v>
      </c>
      <c r="AQ40" s="28">
        <v>2583.15</v>
      </c>
      <c r="AR40" s="28">
        <v>2560.1999999999998</v>
      </c>
      <c r="AS40" s="28">
        <v>2583.15</v>
      </c>
      <c r="AT40" s="28">
        <v>2565.3000000000002</v>
      </c>
      <c r="AU40" s="28">
        <v>2575.5</v>
      </c>
      <c r="AV40" s="29">
        <v>2904</v>
      </c>
      <c r="AW40" s="29">
        <v>3039</v>
      </c>
      <c r="AX40" s="29">
        <v>3012</v>
      </c>
      <c r="AY40" s="29">
        <v>3039</v>
      </c>
      <c r="AZ40" s="29">
        <v>3018</v>
      </c>
      <c r="BA40" s="29">
        <v>3030</v>
      </c>
      <c r="BB40" s="30">
        <v>8866</v>
      </c>
      <c r="BC40" s="30">
        <v>6430</v>
      </c>
      <c r="BD40" s="30">
        <v>6430</v>
      </c>
      <c r="BE40" s="30">
        <v>6430</v>
      </c>
      <c r="BF40" s="30">
        <v>6430</v>
      </c>
      <c r="BG40" s="30">
        <v>6430</v>
      </c>
    </row>
    <row r="41" spans="1:59" ht="15.75" thickBot="1" x14ac:dyDescent="0.3">
      <c r="A41" s="19" t="s">
        <v>296</v>
      </c>
      <c r="B41" s="19" t="s">
        <v>297</v>
      </c>
      <c r="C41" s="20">
        <v>1</v>
      </c>
      <c r="D41" s="20">
        <v>1</v>
      </c>
      <c r="E41" s="20">
        <v>1</v>
      </c>
      <c r="F41" s="20">
        <v>1</v>
      </c>
      <c r="G41" s="20">
        <v>1</v>
      </c>
      <c r="H41" s="20">
        <v>1</v>
      </c>
      <c r="I41" s="21">
        <v>1</v>
      </c>
      <c r="J41" s="22">
        <v>2.56</v>
      </c>
      <c r="K41" s="22">
        <v>2.67</v>
      </c>
      <c r="L41" s="22">
        <v>3.02</v>
      </c>
      <c r="M41" s="22">
        <v>3.33</v>
      </c>
      <c r="N41" s="22">
        <v>3.67</v>
      </c>
      <c r="O41" s="22">
        <v>3.82</v>
      </c>
      <c r="P41" s="23">
        <v>85</v>
      </c>
      <c r="Q41" s="23">
        <v>0</v>
      </c>
      <c r="R41" s="24">
        <v>85</v>
      </c>
      <c r="S41" s="24">
        <v>85</v>
      </c>
      <c r="T41" s="24">
        <v>85</v>
      </c>
      <c r="U41" s="24">
        <v>85</v>
      </c>
      <c r="V41" s="24">
        <v>85</v>
      </c>
      <c r="W41" s="24">
        <v>85</v>
      </c>
      <c r="X41" s="25">
        <v>1.53</v>
      </c>
      <c r="Y41" s="25">
        <v>1.0900000000000001</v>
      </c>
      <c r="Z41" s="25">
        <v>1.08</v>
      </c>
      <c r="AA41" s="25">
        <v>1.06</v>
      </c>
      <c r="AB41" s="25">
        <v>1.05</v>
      </c>
      <c r="AC41" s="25">
        <v>1.03</v>
      </c>
      <c r="AD41" s="26">
        <v>1.3</v>
      </c>
      <c r="AE41" s="26">
        <v>0.93</v>
      </c>
      <c r="AF41" s="26">
        <v>0.92</v>
      </c>
      <c r="AG41" s="26">
        <v>0.9</v>
      </c>
      <c r="AH41" s="26">
        <v>0.89</v>
      </c>
      <c r="AI41" s="26">
        <v>0.87</v>
      </c>
      <c r="AJ41" s="27">
        <v>37.78</v>
      </c>
      <c r="AK41" s="27">
        <v>28.17</v>
      </c>
      <c r="AL41" s="27">
        <v>27.74</v>
      </c>
      <c r="AM41" s="27">
        <v>27.31</v>
      </c>
      <c r="AN41" s="27">
        <v>26.88</v>
      </c>
      <c r="AO41" s="27">
        <v>26.45</v>
      </c>
      <c r="AP41" s="28">
        <v>2468.4</v>
      </c>
      <c r="AQ41" s="28">
        <v>2583.15</v>
      </c>
      <c r="AR41" s="28">
        <v>2560.1999999999998</v>
      </c>
      <c r="AS41" s="28">
        <v>2583.15</v>
      </c>
      <c r="AT41" s="28">
        <v>2565.3000000000002</v>
      </c>
      <c r="AU41" s="28">
        <v>2575.5</v>
      </c>
      <c r="AV41" s="29">
        <v>2904</v>
      </c>
      <c r="AW41" s="29">
        <v>3039</v>
      </c>
      <c r="AX41" s="29">
        <v>3012</v>
      </c>
      <c r="AY41" s="29">
        <v>3039</v>
      </c>
      <c r="AZ41" s="29">
        <v>3018</v>
      </c>
      <c r="BA41" s="29">
        <v>3030</v>
      </c>
      <c r="BB41" s="30">
        <v>17000</v>
      </c>
      <c r="BC41" s="30">
        <v>12870</v>
      </c>
      <c r="BD41" s="30">
        <v>12870</v>
      </c>
      <c r="BE41" s="30">
        <v>12870</v>
      </c>
      <c r="BF41" s="30">
        <v>12870</v>
      </c>
      <c r="BG41" s="30">
        <v>12870</v>
      </c>
    </row>
    <row r="42" spans="1:59" ht="15.75" thickBot="1" x14ac:dyDescent="0.3">
      <c r="A42" s="19" t="s">
        <v>298</v>
      </c>
      <c r="B42" s="19" t="s">
        <v>277</v>
      </c>
      <c r="C42" s="20">
        <v>1</v>
      </c>
      <c r="D42" s="20">
        <v>1</v>
      </c>
      <c r="E42" s="20">
        <v>1</v>
      </c>
      <c r="F42" s="20">
        <v>1</v>
      </c>
      <c r="G42" s="20">
        <v>1</v>
      </c>
      <c r="H42" s="20">
        <v>1</v>
      </c>
      <c r="I42" s="21">
        <v>1</v>
      </c>
      <c r="J42" s="22">
        <v>2.56</v>
      </c>
      <c r="K42" s="22">
        <v>2.67</v>
      </c>
      <c r="L42" s="22">
        <v>3.02</v>
      </c>
      <c r="M42" s="22">
        <v>3.33</v>
      </c>
      <c r="N42" s="22">
        <v>3.67</v>
      </c>
      <c r="O42" s="22">
        <v>3.82</v>
      </c>
      <c r="P42" s="23">
        <v>85</v>
      </c>
      <c r="Q42" s="23">
        <v>0</v>
      </c>
      <c r="R42" s="24">
        <v>85</v>
      </c>
      <c r="S42" s="24">
        <v>85</v>
      </c>
      <c r="T42" s="24">
        <v>85</v>
      </c>
      <c r="U42" s="24">
        <v>85</v>
      </c>
      <c r="V42" s="24">
        <v>85</v>
      </c>
      <c r="W42" s="24">
        <v>85</v>
      </c>
      <c r="X42" s="25">
        <v>0.2</v>
      </c>
      <c r="Y42" s="25">
        <v>0.08</v>
      </c>
      <c r="Z42" s="25">
        <v>0.08</v>
      </c>
      <c r="AA42" s="25">
        <v>0.08</v>
      </c>
      <c r="AB42" s="25">
        <v>0.08</v>
      </c>
      <c r="AC42" s="25">
        <v>0.08</v>
      </c>
      <c r="AD42" s="26">
        <v>0.17</v>
      </c>
      <c r="AE42" s="26">
        <v>7.0000000000000007E-2</v>
      </c>
      <c r="AF42" s="26">
        <v>7.0000000000000007E-2</v>
      </c>
      <c r="AG42" s="26">
        <v>7.0000000000000007E-2</v>
      </c>
      <c r="AH42" s="26">
        <v>7.0000000000000007E-2</v>
      </c>
      <c r="AI42" s="26">
        <v>7.0000000000000007E-2</v>
      </c>
      <c r="AJ42" s="27">
        <v>4.91</v>
      </c>
      <c r="AK42" s="27">
        <v>2.14</v>
      </c>
      <c r="AL42" s="27">
        <v>2.11</v>
      </c>
      <c r="AM42" s="27">
        <v>2.08</v>
      </c>
      <c r="AN42" s="27">
        <v>2.04</v>
      </c>
      <c r="AO42" s="27">
        <v>2.0099999999999998</v>
      </c>
      <c r="AP42" s="28">
        <v>2468.4</v>
      </c>
      <c r="AQ42" s="28">
        <v>2583.15</v>
      </c>
      <c r="AR42" s="28">
        <v>2560.1999999999998</v>
      </c>
      <c r="AS42" s="28">
        <v>2583.15</v>
      </c>
      <c r="AT42" s="28">
        <v>2565.3000000000002</v>
      </c>
      <c r="AU42" s="28">
        <v>2575.5</v>
      </c>
      <c r="AV42" s="29">
        <v>2904</v>
      </c>
      <c r="AW42" s="29">
        <v>3039</v>
      </c>
      <c r="AX42" s="29">
        <v>3012</v>
      </c>
      <c r="AY42" s="29">
        <v>3039</v>
      </c>
      <c r="AZ42" s="29">
        <v>3018</v>
      </c>
      <c r="BA42" s="29">
        <v>3030</v>
      </c>
      <c r="BB42" s="30">
        <v>7369</v>
      </c>
      <c r="BC42" s="30">
        <v>3263</v>
      </c>
      <c r="BD42" s="30">
        <v>3263</v>
      </c>
      <c r="BE42" s="30">
        <v>3263</v>
      </c>
      <c r="BF42" s="30">
        <v>3263</v>
      </c>
      <c r="BG42" s="30">
        <v>3263</v>
      </c>
    </row>
    <row r="43" spans="1:59" ht="15.75" thickBot="1" x14ac:dyDescent="0.3">
      <c r="A43" s="19" t="s">
        <v>299</v>
      </c>
      <c r="B43" s="19" t="s">
        <v>300</v>
      </c>
      <c r="C43" s="20">
        <v>1</v>
      </c>
      <c r="D43" s="20">
        <v>1</v>
      </c>
      <c r="E43" s="20">
        <v>1</v>
      </c>
      <c r="F43" s="20">
        <v>1</v>
      </c>
      <c r="G43" s="20">
        <v>1</v>
      </c>
      <c r="H43" s="20">
        <v>1</v>
      </c>
      <c r="I43" s="21">
        <v>1</v>
      </c>
      <c r="J43" s="22">
        <v>2.56</v>
      </c>
      <c r="K43" s="22">
        <v>2.67</v>
      </c>
      <c r="L43" s="22">
        <v>3.02</v>
      </c>
      <c r="M43" s="22">
        <v>3.33</v>
      </c>
      <c r="N43" s="22">
        <v>3.67</v>
      </c>
      <c r="O43" s="22">
        <v>3.82</v>
      </c>
      <c r="P43" s="23">
        <v>85</v>
      </c>
      <c r="Q43" s="23">
        <v>0</v>
      </c>
      <c r="R43" s="24">
        <v>85</v>
      </c>
      <c r="S43" s="24">
        <v>85</v>
      </c>
      <c r="T43" s="24">
        <v>85</v>
      </c>
      <c r="U43" s="24">
        <v>85</v>
      </c>
      <c r="V43" s="24">
        <v>85</v>
      </c>
      <c r="W43" s="24">
        <v>85</v>
      </c>
      <c r="X43" s="25">
        <v>1.4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6">
        <v>1.19</v>
      </c>
      <c r="AE43" s="26">
        <v>0</v>
      </c>
      <c r="AF43" s="26">
        <v>0</v>
      </c>
      <c r="AG43" s="26">
        <v>0</v>
      </c>
      <c r="AH43" s="26">
        <v>0</v>
      </c>
      <c r="AI43" s="26">
        <v>0</v>
      </c>
      <c r="AJ43" s="27">
        <v>34.619999999999997</v>
      </c>
      <c r="AK43" s="27">
        <v>0</v>
      </c>
      <c r="AL43" s="27">
        <v>0</v>
      </c>
      <c r="AM43" s="27">
        <v>0</v>
      </c>
      <c r="AN43" s="27">
        <v>0</v>
      </c>
      <c r="AO43" s="27">
        <v>0</v>
      </c>
      <c r="AP43" s="28">
        <v>2468.4</v>
      </c>
      <c r="AQ43" s="28">
        <v>2583.15</v>
      </c>
      <c r="AR43" s="28">
        <v>2560.1999999999998</v>
      </c>
      <c r="AS43" s="28">
        <v>2583.15</v>
      </c>
      <c r="AT43" s="28">
        <v>2565.3000000000002</v>
      </c>
      <c r="AU43" s="28">
        <v>2575.5</v>
      </c>
      <c r="AV43" s="29">
        <v>2904</v>
      </c>
      <c r="AW43" s="29">
        <v>3039</v>
      </c>
      <c r="AX43" s="29">
        <v>3012</v>
      </c>
      <c r="AY43" s="29">
        <v>3039</v>
      </c>
      <c r="AZ43" s="29">
        <v>3018</v>
      </c>
      <c r="BA43" s="29">
        <v>3030</v>
      </c>
      <c r="BB43" s="30">
        <v>17000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</row>
    <row r="44" spans="1:59" ht="15.75" thickBot="1" x14ac:dyDescent="0.3">
      <c r="A44" s="19" t="s">
        <v>621</v>
      </c>
      <c r="B44" s="19" t="s">
        <v>541</v>
      </c>
      <c r="C44" s="20">
        <v>1</v>
      </c>
      <c r="D44" s="20">
        <v>1</v>
      </c>
      <c r="E44" s="20">
        <v>1</v>
      </c>
      <c r="F44" s="20">
        <v>1</v>
      </c>
      <c r="G44" s="20">
        <v>1</v>
      </c>
      <c r="H44" s="20">
        <v>1</v>
      </c>
      <c r="I44" s="21">
        <v>1</v>
      </c>
      <c r="J44" s="22">
        <v>2.56</v>
      </c>
      <c r="K44" s="22">
        <v>2.67</v>
      </c>
      <c r="L44" s="22">
        <v>3.02</v>
      </c>
      <c r="M44" s="22">
        <v>3.33</v>
      </c>
      <c r="N44" s="22">
        <v>3.67</v>
      </c>
      <c r="O44" s="22">
        <v>3.82</v>
      </c>
      <c r="P44" s="23">
        <v>85</v>
      </c>
      <c r="Q44" s="23">
        <v>0</v>
      </c>
      <c r="R44" s="24">
        <v>85</v>
      </c>
      <c r="S44" s="24">
        <v>85</v>
      </c>
      <c r="T44" s="24">
        <v>85</v>
      </c>
      <c r="U44" s="24">
        <v>85</v>
      </c>
      <c r="V44" s="24">
        <v>85</v>
      </c>
      <c r="W44" s="24">
        <v>85</v>
      </c>
      <c r="X44" s="25">
        <v>1.19</v>
      </c>
      <c r="Y44" s="25">
        <v>1.19</v>
      </c>
      <c r="Z44" s="25">
        <v>1.18</v>
      </c>
      <c r="AA44" s="25">
        <v>1.1499999999999999</v>
      </c>
      <c r="AB44" s="25">
        <v>1.1399999999999999</v>
      </c>
      <c r="AC44" s="25">
        <v>1.1200000000000001</v>
      </c>
      <c r="AD44" s="26">
        <v>1.01</v>
      </c>
      <c r="AE44" s="26">
        <v>1.01</v>
      </c>
      <c r="AF44" s="26">
        <v>1</v>
      </c>
      <c r="AG44" s="26">
        <v>0.98</v>
      </c>
      <c r="AH44" s="26">
        <v>0.97</v>
      </c>
      <c r="AI44" s="26">
        <v>0.95</v>
      </c>
      <c r="AJ44" s="27">
        <v>29.43</v>
      </c>
      <c r="AK44" s="27">
        <v>30.63</v>
      </c>
      <c r="AL44" s="27">
        <v>30.16</v>
      </c>
      <c r="AM44" s="27">
        <v>29.7</v>
      </c>
      <c r="AN44" s="27">
        <v>29.23</v>
      </c>
      <c r="AO44" s="27">
        <v>28.77</v>
      </c>
      <c r="AP44" s="28">
        <v>2468.4</v>
      </c>
      <c r="AQ44" s="28">
        <v>2583.15</v>
      </c>
      <c r="AR44" s="28">
        <v>2560.1999999999998</v>
      </c>
      <c r="AS44" s="28">
        <v>2583.15</v>
      </c>
      <c r="AT44" s="28">
        <v>2565.3000000000002</v>
      </c>
      <c r="AU44" s="28">
        <v>2575.5</v>
      </c>
      <c r="AV44" s="29">
        <v>2904</v>
      </c>
      <c r="AW44" s="29">
        <v>3039</v>
      </c>
      <c r="AX44" s="29">
        <v>3012</v>
      </c>
      <c r="AY44" s="29">
        <v>3039</v>
      </c>
      <c r="AZ44" s="29">
        <v>3018</v>
      </c>
      <c r="BA44" s="29">
        <v>3030</v>
      </c>
      <c r="BB44" s="30">
        <v>283800</v>
      </c>
      <c r="BC44" s="30">
        <v>299879</v>
      </c>
      <c r="BD44" s="30">
        <v>299879</v>
      </c>
      <c r="BE44" s="30">
        <v>299879</v>
      </c>
      <c r="BF44" s="30">
        <v>299879</v>
      </c>
      <c r="BG44" s="30">
        <v>299879</v>
      </c>
    </row>
    <row r="45" spans="1:59" ht="15.75" thickBot="1" x14ac:dyDescent="0.3">
      <c r="A45" s="19" t="s">
        <v>622</v>
      </c>
      <c r="B45" s="19" t="s">
        <v>542</v>
      </c>
      <c r="C45" s="20">
        <v>1</v>
      </c>
      <c r="D45" s="20">
        <v>1</v>
      </c>
      <c r="E45" s="20">
        <v>1</v>
      </c>
      <c r="F45" s="20">
        <v>1</v>
      </c>
      <c r="G45" s="20">
        <v>1</v>
      </c>
      <c r="H45" s="20">
        <v>1</v>
      </c>
      <c r="I45" s="21">
        <v>1</v>
      </c>
      <c r="J45" s="22">
        <v>2.56</v>
      </c>
      <c r="K45" s="22">
        <v>2.67</v>
      </c>
      <c r="L45" s="22">
        <v>3.02</v>
      </c>
      <c r="M45" s="22">
        <v>3.33</v>
      </c>
      <c r="N45" s="22">
        <v>3.67</v>
      </c>
      <c r="O45" s="22">
        <v>3.82</v>
      </c>
      <c r="P45" s="23">
        <v>85</v>
      </c>
      <c r="Q45" s="23">
        <v>0</v>
      </c>
      <c r="R45" s="24">
        <v>85</v>
      </c>
      <c r="S45" s="24">
        <v>85</v>
      </c>
      <c r="T45" s="24">
        <v>85</v>
      </c>
      <c r="U45" s="24">
        <v>85</v>
      </c>
      <c r="V45" s="24">
        <v>85</v>
      </c>
      <c r="W45" s="24">
        <v>85</v>
      </c>
      <c r="X45" s="25">
        <v>0.28000000000000003</v>
      </c>
      <c r="Y45" s="25">
        <v>0.13</v>
      </c>
      <c r="Z45" s="25">
        <v>0.13</v>
      </c>
      <c r="AA45" s="25">
        <v>0.13</v>
      </c>
      <c r="AB45" s="25">
        <v>0.13</v>
      </c>
      <c r="AC45" s="25">
        <v>0.13</v>
      </c>
      <c r="AD45" s="26">
        <v>0.24</v>
      </c>
      <c r="AE45" s="26">
        <v>0.11</v>
      </c>
      <c r="AF45" s="26">
        <v>0.11</v>
      </c>
      <c r="AG45" s="26">
        <v>0.11</v>
      </c>
      <c r="AH45" s="26">
        <v>0.11</v>
      </c>
      <c r="AI45" s="26">
        <v>0.11</v>
      </c>
      <c r="AJ45" s="27">
        <v>6.9</v>
      </c>
      <c r="AK45" s="27">
        <v>3.47</v>
      </c>
      <c r="AL45" s="27">
        <v>3.42</v>
      </c>
      <c r="AM45" s="27">
        <v>3.36</v>
      </c>
      <c r="AN45" s="27">
        <v>3.31</v>
      </c>
      <c r="AO45" s="27">
        <v>3.26</v>
      </c>
      <c r="AP45" s="28">
        <v>2468.4</v>
      </c>
      <c r="AQ45" s="28">
        <v>2583.15</v>
      </c>
      <c r="AR45" s="28">
        <v>2560.1999999999998</v>
      </c>
      <c r="AS45" s="28">
        <v>2583.15</v>
      </c>
      <c r="AT45" s="28">
        <v>2565.3000000000002</v>
      </c>
      <c r="AU45" s="28">
        <v>2575.5</v>
      </c>
      <c r="AV45" s="29">
        <v>2904</v>
      </c>
      <c r="AW45" s="29">
        <v>3039</v>
      </c>
      <c r="AX45" s="29">
        <v>3012</v>
      </c>
      <c r="AY45" s="29">
        <v>3039</v>
      </c>
      <c r="AZ45" s="29">
        <v>3018</v>
      </c>
      <c r="BA45" s="29">
        <v>3030</v>
      </c>
      <c r="BB45" s="30">
        <v>66569</v>
      </c>
      <c r="BC45" s="30">
        <v>33952</v>
      </c>
      <c r="BD45" s="30">
        <v>33952</v>
      </c>
      <c r="BE45" s="30">
        <v>33952</v>
      </c>
      <c r="BF45" s="30">
        <v>33952</v>
      </c>
      <c r="BG45" s="30">
        <v>33952</v>
      </c>
    </row>
    <row r="46" spans="1:59" ht="15.75" thickBot="1" x14ac:dyDescent="0.3">
      <c r="A46" s="19" t="s">
        <v>623</v>
      </c>
      <c r="B46" s="19" t="s">
        <v>543</v>
      </c>
      <c r="C46" s="20">
        <v>1</v>
      </c>
      <c r="D46" s="20">
        <v>1</v>
      </c>
      <c r="E46" s="20">
        <v>1</v>
      </c>
      <c r="F46" s="20">
        <v>1</v>
      </c>
      <c r="G46" s="20">
        <v>1</v>
      </c>
      <c r="H46" s="20">
        <v>1</v>
      </c>
      <c r="I46" s="21">
        <v>1</v>
      </c>
      <c r="J46" s="22">
        <v>2.56</v>
      </c>
      <c r="K46" s="22">
        <v>2.67</v>
      </c>
      <c r="L46" s="22">
        <v>3.02</v>
      </c>
      <c r="M46" s="22">
        <v>3.33</v>
      </c>
      <c r="N46" s="22">
        <v>3.67</v>
      </c>
      <c r="O46" s="22">
        <v>3.82</v>
      </c>
      <c r="P46" s="23">
        <v>85</v>
      </c>
      <c r="Q46" s="23">
        <v>0</v>
      </c>
      <c r="R46" s="24">
        <v>85</v>
      </c>
      <c r="S46" s="24">
        <v>85</v>
      </c>
      <c r="T46" s="24">
        <v>85</v>
      </c>
      <c r="U46" s="24">
        <v>85</v>
      </c>
      <c r="V46" s="24">
        <v>85</v>
      </c>
      <c r="W46" s="24">
        <v>85</v>
      </c>
      <c r="X46" s="25">
        <v>0.02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6">
        <v>0.02</v>
      </c>
      <c r="AE46" s="26">
        <v>0</v>
      </c>
      <c r="AF46" s="26">
        <v>0</v>
      </c>
      <c r="AG46" s="26">
        <v>0</v>
      </c>
      <c r="AH46" s="26">
        <v>0</v>
      </c>
      <c r="AI46" s="26">
        <v>0</v>
      </c>
      <c r="AJ46" s="27">
        <v>0.57999999999999996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8">
        <v>2468.4</v>
      </c>
      <c r="AQ46" s="28">
        <v>2583.15</v>
      </c>
      <c r="AR46" s="28">
        <v>2560.1999999999998</v>
      </c>
      <c r="AS46" s="28">
        <v>2583.15</v>
      </c>
      <c r="AT46" s="28">
        <v>2565.3000000000002</v>
      </c>
      <c r="AU46" s="28">
        <v>2575.5</v>
      </c>
      <c r="AV46" s="29">
        <v>2904</v>
      </c>
      <c r="AW46" s="29">
        <v>3039</v>
      </c>
      <c r="AX46" s="29">
        <v>3012</v>
      </c>
      <c r="AY46" s="29">
        <v>3039</v>
      </c>
      <c r="AZ46" s="29">
        <v>3018</v>
      </c>
      <c r="BA46" s="29">
        <v>3030</v>
      </c>
      <c r="BB46" s="30">
        <v>2000</v>
      </c>
      <c r="BC46" s="30">
        <v>0</v>
      </c>
      <c r="BD46" s="30">
        <v>0</v>
      </c>
      <c r="BE46" s="30">
        <v>0</v>
      </c>
      <c r="BF46" s="30">
        <v>0</v>
      </c>
      <c r="BG46" s="30">
        <v>0</v>
      </c>
    </row>
    <row r="47" spans="1:59" ht="15.75" thickBot="1" x14ac:dyDescent="0.3">
      <c r="A47" s="19" t="s">
        <v>337</v>
      </c>
      <c r="B47" s="19" t="s">
        <v>312</v>
      </c>
      <c r="C47" s="20">
        <v>1</v>
      </c>
      <c r="D47" s="20">
        <v>1</v>
      </c>
      <c r="E47" s="20">
        <v>1</v>
      </c>
      <c r="F47" s="20">
        <v>1</v>
      </c>
      <c r="G47" s="20">
        <v>1</v>
      </c>
      <c r="H47" s="20">
        <v>1</v>
      </c>
      <c r="I47" s="21">
        <v>1</v>
      </c>
      <c r="J47" s="22">
        <v>2.56</v>
      </c>
      <c r="K47" s="22">
        <v>2.67</v>
      </c>
      <c r="L47" s="22">
        <v>3.02</v>
      </c>
      <c r="M47" s="22">
        <v>3.33</v>
      </c>
      <c r="N47" s="22">
        <v>3.67</v>
      </c>
      <c r="O47" s="22">
        <v>3.82</v>
      </c>
      <c r="P47" s="23">
        <v>85</v>
      </c>
      <c r="Q47" s="23">
        <v>0</v>
      </c>
      <c r="R47" s="24">
        <v>85</v>
      </c>
      <c r="S47" s="24">
        <v>85</v>
      </c>
      <c r="T47" s="24">
        <v>85</v>
      </c>
      <c r="U47" s="24">
        <v>85</v>
      </c>
      <c r="V47" s="24">
        <v>85</v>
      </c>
      <c r="W47" s="24">
        <v>85</v>
      </c>
      <c r="X47" s="25">
        <v>0.1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6">
        <v>0.08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7">
        <v>2.38</v>
      </c>
      <c r="AK47" s="27">
        <v>0</v>
      </c>
      <c r="AL47" s="27">
        <v>0</v>
      </c>
      <c r="AM47" s="27">
        <v>0</v>
      </c>
      <c r="AN47" s="27">
        <v>0</v>
      </c>
      <c r="AO47" s="27">
        <v>0</v>
      </c>
      <c r="AP47" s="28">
        <v>2468.4</v>
      </c>
      <c r="AQ47" s="28">
        <v>2583.15</v>
      </c>
      <c r="AR47" s="28">
        <v>2560.1999999999998</v>
      </c>
      <c r="AS47" s="28">
        <v>2583.15</v>
      </c>
      <c r="AT47" s="28">
        <v>2565.3000000000002</v>
      </c>
      <c r="AU47" s="28">
        <v>2575.5</v>
      </c>
      <c r="AV47" s="29">
        <v>2904</v>
      </c>
      <c r="AW47" s="29">
        <v>3039</v>
      </c>
      <c r="AX47" s="29">
        <v>3012</v>
      </c>
      <c r="AY47" s="29">
        <v>3039</v>
      </c>
      <c r="AZ47" s="29">
        <v>3018</v>
      </c>
      <c r="BA47" s="29">
        <v>3030</v>
      </c>
      <c r="BB47" s="30">
        <v>2000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</row>
    <row r="48" spans="1:59" ht="15.75" thickBot="1" x14ac:dyDescent="0.3">
      <c r="A48" s="19" t="s">
        <v>338</v>
      </c>
      <c r="B48" s="19" t="s">
        <v>313</v>
      </c>
      <c r="C48" s="20">
        <v>1</v>
      </c>
      <c r="D48" s="20">
        <v>1</v>
      </c>
      <c r="E48" s="20">
        <v>1</v>
      </c>
      <c r="F48" s="20">
        <v>1</v>
      </c>
      <c r="G48" s="20">
        <v>1</v>
      </c>
      <c r="H48" s="20">
        <v>1</v>
      </c>
      <c r="I48" s="21">
        <v>1</v>
      </c>
      <c r="J48" s="22">
        <v>2.56</v>
      </c>
      <c r="K48" s="22">
        <v>2.67</v>
      </c>
      <c r="L48" s="22">
        <v>3.02</v>
      </c>
      <c r="M48" s="22">
        <v>3.33</v>
      </c>
      <c r="N48" s="22">
        <v>3.67</v>
      </c>
      <c r="O48" s="22">
        <v>3.82</v>
      </c>
      <c r="P48" s="23">
        <v>85</v>
      </c>
      <c r="Q48" s="23">
        <v>0</v>
      </c>
      <c r="R48" s="24">
        <v>85</v>
      </c>
      <c r="S48" s="24">
        <v>85</v>
      </c>
      <c r="T48" s="24">
        <v>85</v>
      </c>
      <c r="U48" s="24">
        <v>85</v>
      </c>
      <c r="V48" s="24">
        <v>85</v>
      </c>
      <c r="W48" s="24">
        <v>85</v>
      </c>
      <c r="X48" s="25">
        <v>0.02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6">
        <v>0.02</v>
      </c>
      <c r="AE48" s="26">
        <v>0</v>
      </c>
      <c r="AF48" s="26">
        <v>0</v>
      </c>
      <c r="AG48" s="26">
        <v>0</v>
      </c>
      <c r="AH48" s="26">
        <v>0</v>
      </c>
      <c r="AI48" s="26">
        <v>0</v>
      </c>
      <c r="AJ48" s="27">
        <v>0.6</v>
      </c>
      <c r="AK48" s="27">
        <v>0</v>
      </c>
      <c r="AL48" s="27">
        <v>0</v>
      </c>
      <c r="AM48" s="27">
        <v>0</v>
      </c>
      <c r="AN48" s="27">
        <v>0</v>
      </c>
      <c r="AO48" s="27">
        <v>0</v>
      </c>
      <c r="AP48" s="28">
        <v>2468.4</v>
      </c>
      <c r="AQ48" s="28">
        <v>2583.15</v>
      </c>
      <c r="AR48" s="28">
        <v>2560.1999999999998</v>
      </c>
      <c r="AS48" s="28">
        <v>2583.15</v>
      </c>
      <c r="AT48" s="28">
        <v>2565.3000000000002</v>
      </c>
      <c r="AU48" s="28">
        <v>2575.5</v>
      </c>
      <c r="AV48" s="29">
        <v>2904</v>
      </c>
      <c r="AW48" s="29">
        <v>3039</v>
      </c>
      <c r="AX48" s="29">
        <v>3012</v>
      </c>
      <c r="AY48" s="29">
        <v>3039</v>
      </c>
      <c r="AZ48" s="29">
        <v>3018</v>
      </c>
      <c r="BA48" s="29">
        <v>3030</v>
      </c>
      <c r="BB48" s="30">
        <v>2000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</row>
    <row r="49" spans="1:59" ht="15.75" thickBot="1" x14ac:dyDescent="0.3">
      <c r="A49" s="19" t="s">
        <v>339</v>
      </c>
      <c r="B49" s="19" t="s">
        <v>314</v>
      </c>
      <c r="C49" s="20">
        <v>1</v>
      </c>
      <c r="D49" s="20">
        <v>1</v>
      </c>
      <c r="E49" s="20">
        <v>1</v>
      </c>
      <c r="F49" s="20">
        <v>1</v>
      </c>
      <c r="G49" s="20">
        <v>1</v>
      </c>
      <c r="H49" s="20">
        <v>1</v>
      </c>
      <c r="I49" s="21">
        <v>1</v>
      </c>
      <c r="J49" s="22">
        <v>2.56</v>
      </c>
      <c r="K49" s="22">
        <v>2.67</v>
      </c>
      <c r="L49" s="22">
        <v>3.02</v>
      </c>
      <c r="M49" s="22">
        <v>3.33</v>
      </c>
      <c r="N49" s="22">
        <v>3.67</v>
      </c>
      <c r="O49" s="22">
        <v>3.82</v>
      </c>
      <c r="P49" s="23">
        <v>85</v>
      </c>
      <c r="Q49" s="23">
        <v>0</v>
      </c>
      <c r="R49" s="24">
        <v>85</v>
      </c>
      <c r="S49" s="24">
        <v>85</v>
      </c>
      <c r="T49" s="24">
        <v>85</v>
      </c>
      <c r="U49" s="24">
        <v>85</v>
      </c>
      <c r="V49" s="24">
        <v>85</v>
      </c>
      <c r="W49" s="24">
        <v>85</v>
      </c>
      <c r="X49" s="25">
        <v>0.02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6">
        <v>0.02</v>
      </c>
      <c r="AE49" s="26">
        <v>0</v>
      </c>
      <c r="AF49" s="26">
        <v>0</v>
      </c>
      <c r="AG49" s="26">
        <v>0</v>
      </c>
      <c r="AH49" s="26">
        <v>0</v>
      </c>
      <c r="AI49" s="26">
        <v>0</v>
      </c>
      <c r="AJ49" s="27">
        <v>0.6</v>
      </c>
      <c r="AK49" s="27">
        <v>0</v>
      </c>
      <c r="AL49" s="27">
        <v>0</v>
      </c>
      <c r="AM49" s="27">
        <v>0</v>
      </c>
      <c r="AN49" s="27">
        <v>0</v>
      </c>
      <c r="AO49" s="27">
        <v>0</v>
      </c>
      <c r="AP49" s="28">
        <v>2468.4</v>
      </c>
      <c r="AQ49" s="28">
        <v>2583.15</v>
      </c>
      <c r="AR49" s="28">
        <v>2560.1999999999998</v>
      </c>
      <c r="AS49" s="28">
        <v>2583.15</v>
      </c>
      <c r="AT49" s="28">
        <v>2565.3000000000002</v>
      </c>
      <c r="AU49" s="28">
        <v>2575.5</v>
      </c>
      <c r="AV49" s="29">
        <v>2904</v>
      </c>
      <c r="AW49" s="29">
        <v>3039</v>
      </c>
      <c r="AX49" s="29">
        <v>3012</v>
      </c>
      <c r="AY49" s="29">
        <v>3039</v>
      </c>
      <c r="AZ49" s="29">
        <v>3018</v>
      </c>
      <c r="BA49" s="29">
        <v>3030</v>
      </c>
      <c r="BB49" s="30">
        <v>2000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</row>
    <row r="50" spans="1:59" ht="15.75" thickBot="1" x14ac:dyDescent="0.3">
      <c r="A50" s="19" t="s">
        <v>624</v>
      </c>
      <c r="B50" s="19" t="s">
        <v>544</v>
      </c>
      <c r="C50" s="20">
        <v>1</v>
      </c>
      <c r="D50" s="20">
        <v>1</v>
      </c>
      <c r="E50" s="20">
        <v>1</v>
      </c>
      <c r="F50" s="20">
        <v>1</v>
      </c>
      <c r="G50" s="20">
        <v>1</v>
      </c>
      <c r="H50" s="20">
        <v>1</v>
      </c>
      <c r="I50" s="21">
        <v>1</v>
      </c>
      <c r="J50" s="22">
        <v>2.56</v>
      </c>
      <c r="K50" s="22">
        <v>2.67</v>
      </c>
      <c r="L50" s="22">
        <v>3.02</v>
      </c>
      <c r="M50" s="22">
        <v>3.33</v>
      </c>
      <c r="N50" s="22">
        <v>3.67</v>
      </c>
      <c r="O50" s="22">
        <v>3.82</v>
      </c>
      <c r="P50" s="23">
        <v>85</v>
      </c>
      <c r="Q50" s="23">
        <v>0</v>
      </c>
      <c r="R50" s="24">
        <v>85</v>
      </c>
      <c r="S50" s="24">
        <v>85</v>
      </c>
      <c r="T50" s="24">
        <v>85</v>
      </c>
      <c r="U50" s="24">
        <v>85</v>
      </c>
      <c r="V50" s="24">
        <v>85</v>
      </c>
      <c r="W50" s="24">
        <v>85</v>
      </c>
      <c r="X50" s="25">
        <v>0.02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6">
        <v>0.01</v>
      </c>
      <c r="AE50" s="26">
        <v>0</v>
      </c>
      <c r="AF50" s="26">
        <v>0</v>
      </c>
      <c r="AG50" s="26">
        <v>0</v>
      </c>
      <c r="AH50" s="26">
        <v>0</v>
      </c>
      <c r="AI50" s="26">
        <v>0</v>
      </c>
      <c r="AJ50" s="27">
        <v>0.38</v>
      </c>
      <c r="AK50" s="27">
        <v>0</v>
      </c>
      <c r="AL50" s="27">
        <v>0</v>
      </c>
      <c r="AM50" s="27">
        <v>0</v>
      </c>
      <c r="AN50" s="27">
        <v>0</v>
      </c>
      <c r="AO50" s="27">
        <v>0</v>
      </c>
      <c r="AP50" s="28">
        <v>2468.4</v>
      </c>
      <c r="AQ50" s="28">
        <v>2583.15</v>
      </c>
      <c r="AR50" s="28">
        <v>2560.1999999999998</v>
      </c>
      <c r="AS50" s="28">
        <v>2583.15</v>
      </c>
      <c r="AT50" s="28">
        <v>2565.3000000000002</v>
      </c>
      <c r="AU50" s="28">
        <v>2575.5</v>
      </c>
      <c r="AV50" s="29">
        <v>2904</v>
      </c>
      <c r="AW50" s="29">
        <v>3039</v>
      </c>
      <c r="AX50" s="29">
        <v>3012</v>
      </c>
      <c r="AY50" s="29">
        <v>3039</v>
      </c>
      <c r="AZ50" s="29">
        <v>3018</v>
      </c>
      <c r="BA50" s="29">
        <v>3030</v>
      </c>
      <c r="BB50" s="30">
        <v>2000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</row>
    <row r="51" spans="1:59" ht="15.75" thickBot="1" x14ac:dyDescent="0.3">
      <c r="A51" s="19" t="s">
        <v>340</v>
      </c>
      <c r="B51" s="19" t="s">
        <v>315</v>
      </c>
      <c r="C51" s="20">
        <v>1</v>
      </c>
      <c r="D51" s="20">
        <v>1</v>
      </c>
      <c r="E51" s="20">
        <v>1</v>
      </c>
      <c r="F51" s="20">
        <v>1</v>
      </c>
      <c r="G51" s="20">
        <v>1</v>
      </c>
      <c r="H51" s="20">
        <v>1</v>
      </c>
      <c r="I51" s="21">
        <v>1</v>
      </c>
      <c r="J51" s="22">
        <v>2.56</v>
      </c>
      <c r="K51" s="22">
        <v>2.67</v>
      </c>
      <c r="L51" s="22">
        <v>3.02</v>
      </c>
      <c r="M51" s="22">
        <v>3.33</v>
      </c>
      <c r="N51" s="22">
        <v>3.67</v>
      </c>
      <c r="O51" s="22">
        <v>3.82</v>
      </c>
      <c r="P51" s="23">
        <v>85</v>
      </c>
      <c r="Q51" s="23">
        <v>0</v>
      </c>
      <c r="R51" s="24">
        <v>85</v>
      </c>
      <c r="S51" s="24">
        <v>85</v>
      </c>
      <c r="T51" s="24">
        <v>85</v>
      </c>
      <c r="U51" s="24">
        <v>85</v>
      </c>
      <c r="V51" s="24">
        <v>85</v>
      </c>
      <c r="W51" s="24">
        <v>85</v>
      </c>
      <c r="X51" s="25">
        <v>0.02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6">
        <v>0.02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7">
        <v>0.54</v>
      </c>
      <c r="AK51" s="27">
        <v>0</v>
      </c>
      <c r="AL51" s="27">
        <v>0</v>
      </c>
      <c r="AM51" s="27">
        <v>0</v>
      </c>
      <c r="AN51" s="27">
        <v>0</v>
      </c>
      <c r="AO51" s="27">
        <v>0</v>
      </c>
      <c r="AP51" s="28">
        <v>2468.4</v>
      </c>
      <c r="AQ51" s="28">
        <v>2583.15</v>
      </c>
      <c r="AR51" s="28">
        <v>2560.1999999999998</v>
      </c>
      <c r="AS51" s="28">
        <v>2583.15</v>
      </c>
      <c r="AT51" s="28">
        <v>2565.3000000000002</v>
      </c>
      <c r="AU51" s="28">
        <v>2575.5</v>
      </c>
      <c r="AV51" s="29">
        <v>2904</v>
      </c>
      <c r="AW51" s="29">
        <v>3039</v>
      </c>
      <c r="AX51" s="29">
        <v>3012</v>
      </c>
      <c r="AY51" s="29">
        <v>3039</v>
      </c>
      <c r="AZ51" s="29">
        <v>3018</v>
      </c>
      <c r="BA51" s="29">
        <v>3030</v>
      </c>
      <c r="BB51" s="30">
        <v>2000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</row>
    <row r="52" spans="1:59" ht="15.75" thickBot="1" x14ac:dyDescent="0.3">
      <c r="A52" s="19" t="s">
        <v>341</v>
      </c>
      <c r="B52" s="19" t="s">
        <v>316</v>
      </c>
      <c r="C52" s="20">
        <v>1</v>
      </c>
      <c r="D52" s="20">
        <v>1</v>
      </c>
      <c r="E52" s="20">
        <v>1</v>
      </c>
      <c r="F52" s="20">
        <v>1</v>
      </c>
      <c r="G52" s="20">
        <v>1</v>
      </c>
      <c r="H52" s="20">
        <v>1</v>
      </c>
      <c r="I52" s="21">
        <v>1</v>
      </c>
      <c r="J52" s="22">
        <v>2.56</v>
      </c>
      <c r="K52" s="22">
        <v>2.67</v>
      </c>
      <c r="L52" s="22">
        <v>3.02</v>
      </c>
      <c r="M52" s="22">
        <v>3.33</v>
      </c>
      <c r="N52" s="22">
        <v>3.67</v>
      </c>
      <c r="O52" s="22">
        <v>3.82</v>
      </c>
      <c r="P52" s="23">
        <v>85</v>
      </c>
      <c r="Q52" s="23">
        <v>0</v>
      </c>
      <c r="R52" s="24">
        <v>85</v>
      </c>
      <c r="S52" s="24">
        <v>85</v>
      </c>
      <c r="T52" s="24">
        <v>85</v>
      </c>
      <c r="U52" s="24">
        <v>85</v>
      </c>
      <c r="V52" s="24">
        <v>85</v>
      </c>
      <c r="W52" s="24">
        <v>85</v>
      </c>
      <c r="X52" s="25">
        <v>0.05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6">
        <v>0.04</v>
      </c>
      <c r="AE52" s="26">
        <v>0</v>
      </c>
      <c r="AF52" s="26">
        <v>0</v>
      </c>
      <c r="AG52" s="26">
        <v>0</v>
      </c>
      <c r="AH52" s="26">
        <v>0</v>
      </c>
      <c r="AI52" s="26">
        <v>0</v>
      </c>
      <c r="AJ52" s="27">
        <v>1.1299999999999999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8">
        <v>2468.4</v>
      </c>
      <c r="AQ52" s="28">
        <v>2583.15</v>
      </c>
      <c r="AR52" s="28">
        <v>2560.1999999999998</v>
      </c>
      <c r="AS52" s="28">
        <v>2583.15</v>
      </c>
      <c r="AT52" s="28">
        <v>2565.3000000000002</v>
      </c>
      <c r="AU52" s="28">
        <v>2575.5</v>
      </c>
      <c r="AV52" s="29">
        <v>2904</v>
      </c>
      <c r="AW52" s="29">
        <v>3039</v>
      </c>
      <c r="AX52" s="29">
        <v>3012</v>
      </c>
      <c r="AY52" s="29">
        <v>3039</v>
      </c>
      <c r="AZ52" s="29">
        <v>3018</v>
      </c>
      <c r="BA52" s="29">
        <v>3030</v>
      </c>
      <c r="BB52" s="30">
        <v>2000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</row>
    <row r="53" spans="1:59" ht="15.75" thickBot="1" x14ac:dyDescent="0.3">
      <c r="A53" s="19" t="s">
        <v>625</v>
      </c>
      <c r="B53" s="19" t="s">
        <v>545</v>
      </c>
      <c r="C53" s="20">
        <v>1</v>
      </c>
      <c r="D53" s="20">
        <v>1</v>
      </c>
      <c r="E53" s="20">
        <v>1</v>
      </c>
      <c r="F53" s="20">
        <v>1</v>
      </c>
      <c r="G53" s="20">
        <v>1</v>
      </c>
      <c r="H53" s="20">
        <v>1</v>
      </c>
      <c r="I53" s="21">
        <v>1</v>
      </c>
      <c r="J53" s="22">
        <v>2.56</v>
      </c>
      <c r="K53" s="22">
        <v>2.67</v>
      </c>
      <c r="L53" s="22">
        <v>3.02</v>
      </c>
      <c r="M53" s="22">
        <v>3.33</v>
      </c>
      <c r="N53" s="22">
        <v>3.67</v>
      </c>
      <c r="O53" s="22">
        <v>3.82</v>
      </c>
      <c r="P53" s="23">
        <v>85</v>
      </c>
      <c r="Q53" s="23">
        <v>0</v>
      </c>
      <c r="R53" s="24">
        <v>85</v>
      </c>
      <c r="S53" s="24">
        <v>85</v>
      </c>
      <c r="T53" s="24">
        <v>85</v>
      </c>
      <c r="U53" s="24">
        <v>85</v>
      </c>
      <c r="V53" s="24">
        <v>85</v>
      </c>
      <c r="W53" s="24">
        <v>85</v>
      </c>
      <c r="X53" s="25">
        <v>0.01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6">
        <v>0.01</v>
      </c>
      <c r="AE53" s="26">
        <v>0</v>
      </c>
      <c r="AF53" s="26">
        <v>0</v>
      </c>
      <c r="AG53" s="26">
        <v>0</v>
      </c>
      <c r="AH53" s="26">
        <v>0</v>
      </c>
      <c r="AI53" s="26">
        <v>0</v>
      </c>
      <c r="AJ53" s="27">
        <v>0.15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8">
        <v>2468.4</v>
      </c>
      <c r="AQ53" s="28">
        <v>2583.15</v>
      </c>
      <c r="AR53" s="28">
        <v>2560.1999999999998</v>
      </c>
      <c r="AS53" s="28">
        <v>2583.15</v>
      </c>
      <c r="AT53" s="28">
        <v>2565.3000000000002</v>
      </c>
      <c r="AU53" s="28">
        <v>2575.5</v>
      </c>
      <c r="AV53" s="29">
        <v>2904</v>
      </c>
      <c r="AW53" s="29">
        <v>3039</v>
      </c>
      <c r="AX53" s="29">
        <v>3012</v>
      </c>
      <c r="AY53" s="29">
        <v>3039</v>
      </c>
      <c r="AZ53" s="29">
        <v>3018</v>
      </c>
      <c r="BA53" s="29">
        <v>3030</v>
      </c>
      <c r="BB53" s="30">
        <v>2000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</row>
    <row r="54" spans="1:59" ht="15.75" thickBot="1" x14ac:dyDescent="0.3">
      <c r="A54" s="19" t="s">
        <v>626</v>
      </c>
      <c r="B54" s="19" t="s">
        <v>546</v>
      </c>
      <c r="C54" s="20">
        <v>1</v>
      </c>
      <c r="D54" s="20">
        <v>1</v>
      </c>
      <c r="E54" s="20">
        <v>1</v>
      </c>
      <c r="F54" s="20">
        <v>1</v>
      </c>
      <c r="G54" s="20">
        <v>1</v>
      </c>
      <c r="H54" s="20">
        <v>1</v>
      </c>
      <c r="I54" s="21">
        <v>1</v>
      </c>
      <c r="J54" s="22">
        <v>2.56</v>
      </c>
      <c r="K54" s="22">
        <v>2.67</v>
      </c>
      <c r="L54" s="22">
        <v>3.02</v>
      </c>
      <c r="M54" s="22">
        <v>3.33</v>
      </c>
      <c r="N54" s="22">
        <v>3.67</v>
      </c>
      <c r="O54" s="22">
        <v>3.82</v>
      </c>
      <c r="P54" s="23">
        <v>85</v>
      </c>
      <c r="Q54" s="23">
        <v>0</v>
      </c>
      <c r="R54" s="24">
        <v>85</v>
      </c>
      <c r="S54" s="24">
        <v>85</v>
      </c>
      <c r="T54" s="24">
        <v>85</v>
      </c>
      <c r="U54" s="24">
        <v>85</v>
      </c>
      <c r="V54" s="24">
        <v>85</v>
      </c>
      <c r="W54" s="24">
        <v>85</v>
      </c>
      <c r="X54" s="25">
        <v>0.03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6">
        <v>0.02</v>
      </c>
      <c r="AE54" s="26">
        <v>0</v>
      </c>
      <c r="AF54" s="26">
        <v>0</v>
      </c>
      <c r="AG54" s="26">
        <v>0</v>
      </c>
      <c r="AH54" s="26">
        <v>0</v>
      </c>
      <c r="AI54" s="26">
        <v>0</v>
      </c>
      <c r="AJ54" s="27">
        <v>0.66</v>
      </c>
      <c r="AK54" s="27">
        <v>0</v>
      </c>
      <c r="AL54" s="27">
        <v>0</v>
      </c>
      <c r="AM54" s="27">
        <v>0</v>
      </c>
      <c r="AN54" s="27">
        <v>0</v>
      </c>
      <c r="AO54" s="27">
        <v>0</v>
      </c>
      <c r="AP54" s="28">
        <v>2468.4</v>
      </c>
      <c r="AQ54" s="28">
        <v>2583.15</v>
      </c>
      <c r="AR54" s="28">
        <v>2560.1999999999998</v>
      </c>
      <c r="AS54" s="28">
        <v>2583.15</v>
      </c>
      <c r="AT54" s="28">
        <v>2565.3000000000002</v>
      </c>
      <c r="AU54" s="28">
        <v>2575.5</v>
      </c>
      <c r="AV54" s="29">
        <v>2904</v>
      </c>
      <c r="AW54" s="29">
        <v>3039</v>
      </c>
      <c r="AX54" s="29">
        <v>3012</v>
      </c>
      <c r="AY54" s="29">
        <v>3039</v>
      </c>
      <c r="AZ54" s="29">
        <v>3018</v>
      </c>
      <c r="BA54" s="29">
        <v>3030</v>
      </c>
      <c r="BB54" s="30">
        <v>2000</v>
      </c>
      <c r="BC54" s="30">
        <v>0</v>
      </c>
      <c r="BD54" s="30">
        <v>0</v>
      </c>
      <c r="BE54" s="30">
        <v>0</v>
      </c>
      <c r="BF54" s="30">
        <v>0</v>
      </c>
      <c r="BG54" s="30">
        <v>0</v>
      </c>
    </row>
    <row r="55" spans="1:59" ht="15.75" thickBot="1" x14ac:dyDescent="0.3">
      <c r="A55" s="19" t="s">
        <v>627</v>
      </c>
      <c r="B55" s="19" t="s">
        <v>547</v>
      </c>
      <c r="C55" s="20">
        <v>1</v>
      </c>
      <c r="D55" s="20">
        <v>1</v>
      </c>
      <c r="E55" s="20">
        <v>1</v>
      </c>
      <c r="F55" s="20">
        <v>1</v>
      </c>
      <c r="G55" s="20">
        <v>1</v>
      </c>
      <c r="H55" s="20">
        <v>1</v>
      </c>
      <c r="I55" s="21">
        <v>1</v>
      </c>
      <c r="J55" s="22">
        <v>2.56</v>
      </c>
      <c r="K55" s="22">
        <v>2.67</v>
      </c>
      <c r="L55" s="22">
        <v>3.02</v>
      </c>
      <c r="M55" s="22">
        <v>3.33</v>
      </c>
      <c r="N55" s="22">
        <v>3.67</v>
      </c>
      <c r="O55" s="22">
        <v>3.82</v>
      </c>
      <c r="P55" s="23">
        <v>85</v>
      </c>
      <c r="Q55" s="23">
        <v>0</v>
      </c>
      <c r="R55" s="24">
        <v>85</v>
      </c>
      <c r="S55" s="24">
        <v>85</v>
      </c>
      <c r="T55" s="24">
        <v>85</v>
      </c>
      <c r="U55" s="24">
        <v>85</v>
      </c>
      <c r="V55" s="24">
        <v>85</v>
      </c>
      <c r="W55" s="24">
        <v>85</v>
      </c>
      <c r="X55" s="25">
        <v>0.03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6">
        <v>0.02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7">
        <v>0.69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8">
        <v>2468.4</v>
      </c>
      <c r="AQ55" s="28">
        <v>2583.15</v>
      </c>
      <c r="AR55" s="28">
        <v>2560.1999999999998</v>
      </c>
      <c r="AS55" s="28">
        <v>2583.15</v>
      </c>
      <c r="AT55" s="28">
        <v>2565.3000000000002</v>
      </c>
      <c r="AU55" s="28">
        <v>2575.5</v>
      </c>
      <c r="AV55" s="29">
        <v>2904</v>
      </c>
      <c r="AW55" s="29">
        <v>3039</v>
      </c>
      <c r="AX55" s="29">
        <v>3012</v>
      </c>
      <c r="AY55" s="29">
        <v>3039</v>
      </c>
      <c r="AZ55" s="29">
        <v>3018</v>
      </c>
      <c r="BA55" s="29">
        <v>3030</v>
      </c>
      <c r="BB55" s="30">
        <v>2000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</row>
    <row r="56" spans="1:59" ht="15.75" thickBot="1" x14ac:dyDescent="0.3">
      <c r="A56" s="19" t="s">
        <v>628</v>
      </c>
      <c r="B56" s="19" t="s">
        <v>548</v>
      </c>
      <c r="C56" s="20">
        <v>1</v>
      </c>
      <c r="D56" s="20">
        <v>1</v>
      </c>
      <c r="E56" s="20">
        <v>1</v>
      </c>
      <c r="F56" s="20">
        <v>1</v>
      </c>
      <c r="G56" s="20">
        <v>1</v>
      </c>
      <c r="H56" s="20">
        <v>1</v>
      </c>
      <c r="I56" s="21">
        <v>1</v>
      </c>
      <c r="J56" s="22">
        <v>2.56</v>
      </c>
      <c r="K56" s="22">
        <v>2.67</v>
      </c>
      <c r="L56" s="22">
        <v>3.02</v>
      </c>
      <c r="M56" s="22">
        <v>3.33</v>
      </c>
      <c r="N56" s="22">
        <v>3.67</v>
      </c>
      <c r="O56" s="22">
        <v>3.82</v>
      </c>
      <c r="P56" s="23">
        <v>85</v>
      </c>
      <c r="Q56" s="23">
        <v>0</v>
      </c>
      <c r="R56" s="24">
        <v>85</v>
      </c>
      <c r="S56" s="24">
        <v>85</v>
      </c>
      <c r="T56" s="24">
        <v>85</v>
      </c>
      <c r="U56" s="24">
        <v>85</v>
      </c>
      <c r="V56" s="24">
        <v>85</v>
      </c>
      <c r="W56" s="24">
        <v>85</v>
      </c>
      <c r="X56" s="25">
        <v>0.01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6">
        <v>0.01</v>
      </c>
      <c r="AE56" s="26">
        <v>0</v>
      </c>
      <c r="AF56" s="26">
        <v>0</v>
      </c>
      <c r="AG56" s="26">
        <v>0</v>
      </c>
      <c r="AH56" s="26">
        <v>0</v>
      </c>
      <c r="AI56" s="26">
        <v>0</v>
      </c>
      <c r="AJ56" s="27">
        <v>0.22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8">
        <v>2468.4</v>
      </c>
      <c r="AQ56" s="28">
        <v>2583.15</v>
      </c>
      <c r="AR56" s="28">
        <v>2560.1999999999998</v>
      </c>
      <c r="AS56" s="28">
        <v>2583.15</v>
      </c>
      <c r="AT56" s="28">
        <v>2565.3000000000002</v>
      </c>
      <c r="AU56" s="28">
        <v>2575.5</v>
      </c>
      <c r="AV56" s="29">
        <v>2904</v>
      </c>
      <c r="AW56" s="29">
        <v>3039</v>
      </c>
      <c r="AX56" s="29">
        <v>3012</v>
      </c>
      <c r="AY56" s="29">
        <v>3039</v>
      </c>
      <c r="AZ56" s="29">
        <v>3018</v>
      </c>
      <c r="BA56" s="29">
        <v>3030</v>
      </c>
      <c r="BB56" s="30">
        <v>2000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</row>
    <row r="57" spans="1:59" ht="15.75" thickBot="1" x14ac:dyDescent="0.3">
      <c r="A57" s="19" t="s">
        <v>629</v>
      </c>
      <c r="B57" s="19" t="s">
        <v>549</v>
      </c>
      <c r="C57" s="20">
        <v>1</v>
      </c>
      <c r="D57" s="20">
        <v>1</v>
      </c>
      <c r="E57" s="20">
        <v>1</v>
      </c>
      <c r="F57" s="20">
        <v>1</v>
      </c>
      <c r="G57" s="20">
        <v>1</v>
      </c>
      <c r="H57" s="20">
        <v>1</v>
      </c>
      <c r="I57" s="21">
        <v>1</v>
      </c>
      <c r="J57" s="22">
        <v>2.56</v>
      </c>
      <c r="K57" s="22">
        <v>2.67</v>
      </c>
      <c r="L57" s="22">
        <v>3.02</v>
      </c>
      <c r="M57" s="22">
        <v>3.33</v>
      </c>
      <c r="N57" s="22">
        <v>3.67</v>
      </c>
      <c r="O57" s="22">
        <v>3.82</v>
      </c>
      <c r="P57" s="23">
        <v>85</v>
      </c>
      <c r="Q57" s="23">
        <v>0</v>
      </c>
      <c r="R57" s="24">
        <v>85</v>
      </c>
      <c r="S57" s="24">
        <v>85</v>
      </c>
      <c r="T57" s="24">
        <v>85</v>
      </c>
      <c r="U57" s="24">
        <v>85</v>
      </c>
      <c r="V57" s="24">
        <v>85</v>
      </c>
      <c r="W57" s="24">
        <v>85</v>
      </c>
      <c r="X57" s="25">
        <v>0.02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6">
        <v>0.02</v>
      </c>
      <c r="AE57" s="26">
        <v>0</v>
      </c>
      <c r="AF57" s="26">
        <v>0</v>
      </c>
      <c r="AG57" s="26">
        <v>0</v>
      </c>
      <c r="AH57" s="26">
        <v>0</v>
      </c>
      <c r="AI57" s="26">
        <v>0</v>
      </c>
      <c r="AJ57" s="27">
        <v>0.44</v>
      </c>
      <c r="AK57" s="27">
        <v>0</v>
      </c>
      <c r="AL57" s="27">
        <v>0</v>
      </c>
      <c r="AM57" s="27">
        <v>0</v>
      </c>
      <c r="AN57" s="27">
        <v>0</v>
      </c>
      <c r="AO57" s="27">
        <v>0</v>
      </c>
      <c r="AP57" s="28">
        <v>2468.4</v>
      </c>
      <c r="AQ57" s="28">
        <v>2583.15</v>
      </c>
      <c r="AR57" s="28">
        <v>2560.1999999999998</v>
      </c>
      <c r="AS57" s="28">
        <v>2583.15</v>
      </c>
      <c r="AT57" s="28">
        <v>2565.3000000000002</v>
      </c>
      <c r="AU57" s="28">
        <v>2575.5</v>
      </c>
      <c r="AV57" s="29">
        <v>2904</v>
      </c>
      <c r="AW57" s="29">
        <v>3039</v>
      </c>
      <c r="AX57" s="29">
        <v>3012</v>
      </c>
      <c r="AY57" s="29">
        <v>3039</v>
      </c>
      <c r="AZ57" s="29">
        <v>3018</v>
      </c>
      <c r="BA57" s="29">
        <v>3030</v>
      </c>
      <c r="BB57" s="30">
        <v>2000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</row>
    <row r="58" spans="1:59" ht="15.75" thickBot="1" x14ac:dyDescent="0.3">
      <c r="A58" s="19" t="s">
        <v>342</v>
      </c>
      <c r="B58" s="19" t="s">
        <v>317</v>
      </c>
      <c r="C58" s="20">
        <v>1</v>
      </c>
      <c r="D58" s="20">
        <v>1</v>
      </c>
      <c r="E58" s="20">
        <v>1</v>
      </c>
      <c r="F58" s="20">
        <v>1</v>
      </c>
      <c r="G58" s="20">
        <v>1</v>
      </c>
      <c r="H58" s="20">
        <v>1</v>
      </c>
      <c r="I58" s="21">
        <v>1</v>
      </c>
      <c r="J58" s="22">
        <v>2.56</v>
      </c>
      <c r="K58" s="22">
        <v>2.67</v>
      </c>
      <c r="L58" s="22">
        <v>3.02</v>
      </c>
      <c r="M58" s="22">
        <v>3.33</v>
      </c>
      <c r="N58" s="22">
        <v>3.67</v>
      </c>
      <c r="O58" s="22">
        <v>3.82</v>
      </c>
      <c r="P58" s="23">
        <v>85</v>
      </c>
      <c r="Q58" s="23">
        <v>0</v>
      </c>
      <c r="R58" s="24">
        <v>85</v>
      </c>
      <c r="S58" s="24">
        <v>85</v>
      </c>
      <c r="T58" s="24">
        <v>85</v>
      </c>
      <c r="U58" s="24">
        <v>85</v>
      </c>
      <c r="V58" s="24">
        <v>85</v>
      </c>
      <c r="W58" s="24">
        <v>85</v>
      </c>
      <c r="X58" s="25">
        <v>2.27</v>
      </c>
      <c r="Y58" s="25">
        <v>2.13</v>
      </c>
      <c r="Z58" s="25">
        <v>2.11</v>
      </c>
      <c r="AA58" s="25">
        <v>2.06</v>
      </c>
      <c r="AB58" s="25">
        <v>2.04</v>
      </c>
      <c r="AC58" s="25">
        <v>2</v>
      </c>
      <c r="AD58" s="26">
        <v>1.93</v>
      </c>
      <c r="AE58" s="26">
        <v>1.81</v>
      </c>
      <c r="AF58" s="26">
        <v>1.8</v>
      </c>
      <c r="AG58" s="26">
        <v>1.75</v>
      </c>
      <c r="AH58" s="26">
        <v>1.74</v>
      </c>
      <c r="AI58" s="26">
        <v>1.7</v>
      </c>
      <c r="AJ58" s="27">
        <v>55.97</v>
      </c>
      <c r="AK58" s="27">
        <v>54.92</v>
      </c>
      <c r="AL58" s="27">
        <v>54.09</v>
      </c>
      <c r="AM58" s="27">
        <v>53.25</v>
      </c>
      <c r="AN58" s="27">
        <v>52.41</v>
      </c>
      <c r="AO58" s="27">
        <v>51.58</v>
      </c>
      <c r="AP58" s="28">
        <v>2468.4</v>
      </c>
      <c r="AQ58" s="28">
        <v>2583.15</v>
      </c>
      <c r="AR58" s="28">
        <v>2560.1999999999998</v>
      </c>
      <c r="AS58" s="28">
        <v>2583.15</v>
      </c>
      <c r="AT58" s="28">
        <v>2565.3000000000002</v>
      </c>
      <c r="AU58" s="28">
        <v>2575.5</v>
      </c>
      <c r="AV58" s="29">
        <v>2904</v>
      </c>
      <c r="AW58" s="29">
        <v>3039</v>
      </c>
      <c r="AX58" s="29">
        <v>3012</v>
      </c>
      <c r="AY58" s="29">
        <v>3039</v>
      </c>
      <c r="AZ58" s="29">
        <v>3018</v>
      </c>
      <c r="BA58" s="29">
        <v>3030</v>
      </c>
      <c r="BB58" s="30">
        <v>79473</v>
      </c>
      <c r="BC58" s="30">
        <v>79177</v>
      </c>
      <c r="BD58" s="30">
        <v>79177</v>
      </c>
      <c r="BE58" s="30">
        <v>79177</v>
      </c>
      <c r="BF58" s="30">
        <v>79177</v>
      </c>
      <c r="BG58" s="30">
        <v>79177</v>
      </c>
    </row>
    <row r="59" spans="1:59" ht="15.75" thickBot="1" x14ac:dyDescent="0.3">
      <c r="A59" s="19" t="s">
        <v>630</v>
      </c>
      <c r="B59" s="19" t="s">
        <v>550</v>
      </c>
      <c r="C59" s="20">
        <v>1</v>
      </c>
      <c r="D59" s="20">
        <v>1</v>
      </c>
      <c r="E59" s="20">
        <v>1</v>
      </c>
      <c r="F59" s="20">
        <v>1</v>
      </c>
      <c r="G59" s="20">
        <v>1</v>
      </c>
      <c r="H59" s="20">
        <v>1</v>
      </c>
      <c r="I59" s="21">
        <v>1</v>
      </c>
      <c r="J59" s="22">
        <v>2.56</v>
      </c>
      <c r="K59" s="22">
        <v>2.67</v>
      </c>
      <c r="L59" s="22">
        <v>3.02</v>
      </c>
      <c r="M59" s="22">
        <v>3.33</v>
      </c>
      <c r="N59" s="22">
        <v>3.67</v>
      </c>
      <c r="O59" s="22">
        <v>3.82</v>
      </c>
      <c r="P59" s="23">
        <v>85</v>
      </c>
      <c r="Q59" s="23">
        <v>0</v>
      </c>
      <c r="R59" s="24">
        <v>85</v>
      </c>
      <c r="S59" s="24">
        <v>85</v>
      </c>
      <c r="T59" s="24">
        <v>85</v>
      </c>
      <c r="U59" s="24">
        <v>85</v>
      </c>
      <c r="V59" s="24">
        <v>85</v>
      </c>
      <c r="W59" s="24">
        <v>85</v>
      </c>
      <c r="X59" s="25">
        <v>0.36</v>
      </c>
      <c r="Y59" s="25">
        <v>0.56000000000000005</v>
      </c>
      <c r="Z59" s="25">
        <v>0.55000000000000004</v>
      </c>
      <c r="AA59" s="25">
        <v>0.54</v>
      </c>
      <c r="AB59" s="25">
        <v>0.53</v>
      </c>
      <c r="AC59" s="25">
        <v>0.52</v>
      </c>
      <c r="AD59" s="26">
        <v>0.3</v>
      </c>
      <c r="AE59" s="26">
        <v>0.47</v>
      </c>
      <c r="AF59" s="26">
        <v>0.47</v>
      </c>
      <c r="AG59" s="26">
        <v>0.46</v>
      </c>
      <c r="AH59" s="26">
        <v>0.45</v>
      </c>
      <c r="AI59" s="26">
        <v>0.44</v>
      </c>
      <c r="AJ59" s="27">
        <v>8.7899999999999991</v>
      </c>
      <c r="AK59" s="27">
        <v>14.35</v>
      </c>
      <c r="AL59" s="27">
        <v>14.13</v>
      </c>
      <c r="AM59" s="27">
        <v>13.91</v>
      </c>
      <c r="AN59" s="27">
        <v>13.69</v>
      </c>
      <c r="AO59" s="27">
        <v>13.47</v>
      </c>
      <c r="AP59" s="28">
        <v>2468.4</v>
      </c>
      <c r="AQ59" s="28">
        <v>2583.15</v>
      </c>
      <c r="AR59" s="28">
        <v>2560.1999999999998</v>
      </c>
      <c r="AS59" s="28">
        <v>2583.15</v>
      </c>
      <c r="AT59" s="28">
        <v>2565.3000000000002</v>
      </c>
      <c r="AU59" s="28">
        <v>2575.5</v>
      </c>
      <c r="AV59" s="29">
        <v>2904</v>
      </c>
      <c r="AW59" s="29">
        <v>3039</v>
      </c>
      <c r="AX59" s="29">
        <v>3012</v>
      </c>
      <c r="AY59" s="29">
        <v>3039</v>
      </c>
      <c r="AZ59" s="29">
        <v>3018</v>
      </c>
      <c r="BA59" s="29">
        <v>3030</v>
      </c>
      <c r="BB59" s="30">
        <v>75513</v>
      </c>
      <c r="BC59" s="30">
        <v>125161</v>
      </c>
      <c r="BD59" s="30">
        <v>125161</v>
      </c>
      <c r="BE59" s="30">
        <v>125161</v>
      </c>
      <c r="BF59" s="30">
        <v>125161</v>
      </c>
      <c r="BG59" s="30">
        <v>125161</v>
      </c>
    </row>
    <row r="60" spans="1:59" ht="15.75" thickBot="1" x14ac:dyDescent="0.3">
      <c r="A60" s="19" t="s">
        <v>301</v>
      </c>
      <c r="B60" s="19" t="s">
        <v>278</v>
      </c>
      <c r="C60" s="20">
        <v>1</v>
      </c>
      <c r="D60" s="20">
        <v>1</v>
      </c>
      <c r="E60" s="20">
        <v>1</v>
      </c>
      <c r="F60" s="20">
        <v>1</v>
      </c>
      <c r="G60" s="20">
        <v>1</v>
      </c>
      <c r="H60" s="20">
        <v>1</v>
      </c>
      <c r="I60" s="21">
        <v>1</v>
      </c>
      <c r="J60" s="22">
        <v>2.56</v>
      </c>
      <c r="K60" s="22">
        <v>2.67</v>
      </c>
      <c r="L60" s="22">
        <v>3.02</v>
      </c>
      <c r="M60" s="22">
        <v>3.33</v>
      </c>
      <c r="N60" s="22">
        <v>3.67</v>
      </c>
      <c r="O60" s="22">
        <v>3.82</v>
      </c>
      <c r="P60" s="23">
        <v>85</v>
      </c>
      <c r="Q60" s="23">
        <v>0</v>
      </c>
      <c r="R60" s="24">
        <v>85</v>
      </c>
      <c r="S60" s="24">
        <v>85</v>
      </c>
      <c r="T60" s="24">
        <v>85</v>
      </c>
      <c r="U60" s="24">
        <v>85</v>
      </c>
      <c r="V60" s="24">
        <v>85</v>
      </c>
      <c r="W60" s="24">
        <v>85</v>
      </c>
      <c r="X60" s="25">
        <v>1.72</v>
      </c>
      <c r="Y60" s="25">
        <v>0.9</v>
      </c>
      <c r="Z60" s="25">
        <v>0.9</v>
      </c>
      <c r="AA60" s="25">
        <v>0.88</v>
      </c>
      <c r="AB60" s="25">
        <v>0.87</v>
      </c>
      <c r="AC60" s="25">
        <v>0.85</v>
      </c>
      <c r="AD60" s="26">
        <v>1.46</v>
      </c>
      <c r="AE60" s="26">
        <v>0.77</v>
      </c>
      <c r="AF60" s="26">
        <v>0.76</v>
      </c>
      <c r="AG60" s="26">
        <v>0.74</v>
      </c>
      <c r="AH60" s="26">
        <v>0.74</v>
      </c>
      <c r="AI60" s="26">
        <v>0.72</v>
      </c>
      <c r="AJ60" s="27">
        <v>42.35</v>
      </c>
      <c r="AK60" s="27">
        <v>23.34</v>
      </c>
      <c r="AL60" s="27">
        <v>22.98</v>
      </c>
      <c r="AM60" s="27">
        <v>22.63</v>
      </c>
      <c r="AN60" s="27">
        <v>22.27</v>
      </c>
      <c r="AO60" s="27">
        <v>21.92</v>
      </c>
      <c r="AP60" s="28">
        <v>2468.4</v>
      </c>
      <c r="AQ60" s="28">
        <v>2583.15</v>
      </c>
      <c r="AR60" s="28">
        <v>2560.1999999999998</v>
      </c>
      <c r="AS60" s="28">
        <v>2583.15</v>
      </c>
      <c r="AT60" s="28">
        <v>2565.3000000000002</v>
      </c>
      <c r="AU60" s="28">
        <v>2575.5</v>
      </c>
      <c r="AV60" s="29">
        <v>2904</v>
      </c>
      <c r="AW60" s="29">
        <v>3039</v>
      </c>
      <c r="AX60" s="29">
        <v>3012</v>
      </c>
      <c r="AY60" s="29">
        <v>3039</v>
      </c>
      <c r="AZ60" s="29">
        <v>3018</v>
      </c>
      <c r="BA60" s="29">
        <v>3030</v>
      </c>
      <c r="BB60" s="30">
        <v>18000</v>
      </c>
      <c r="BC60" s="30">
        <v>10070</v>
      </c>
      <c r="BD60" s="30">
        <v>10070</v>
      </c>
      <c r="BE60" s="30">
        <v>10070</v>
      </c>
      <c r="BF60" s="30">
        <v>10070</v>
      </c>
      <c r="BG60" s="30">
        <v>10070</v>
      </c>
    </row>
    <row r="61" spans="1:59" ht="15.75" thickBot="1" x14ac:dyDescent="0.3">
      <c r="A61" s="19" t="s">
        <v>631</v>
      </c>
      <c r="B61" s="19" t="s">
        <v>551</v>
      </c>
      <c r="C61" s="20">
        <v>1</v>
      </c>
      <c r="D61" s="20">
        <v>1</v>
      </c>
      <c r="E61" s="20">
        <v>1</v>
      </c>
      <c r="F61" s="20">
        <v>1</v>
      </c>
      <c r="G61" s="20">
        <v>1</v>
      </c>
      <c r="H61" s="20">
        <v>1</v>
      </c>
      <c r="I61" s="21">
        <v>1</v>
      </c>
      <c r="J61" s="22">
        <v>2.56</v>
      </c>
      <c r="K61" s="22">
        <v>2.67</v>
      </c>
      <c r="L61" s="22">
        <v>3.02</v>
      </c>
      <c r="M61" s="22">
        <v>3.33</v>
      </c>
      <c r="N61" s="22">
        <v>3.67</v>
      </c>
      <c r="O61" s="22">
        <v>3.82</v>
      </c>
      <c r="P61" s="23">
        <v>85</v>
      </c>
      <c r="Q61" s="23">
        <v>0</v>
      </c>
      <c r="R61" s="24">
        <v>85</v>
      </c>
      <c r="S61" s="24">
        <v>85</v>
      </c>
      <c r="T61" s="24">
        <v>85</v>
      </c>
      <c r="U61" s="24">
        <v>85</v>
      </c>
      <c r="V61" s="24">
        <v>85</v>
      </c>
      <c r="W61" s="24">
        <v>85</v>
      </c>
      <c r="X61" s="25">
        <v>0.05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6">
        <v>0.05</v>
      </c>
      <c r="AE61" s="26">
        <v>0</v>
      </c>
      <c r="AF61" s="26">
        <v>0</v>
      </c>
      <c r="AG61" s="26">
        <v>0</v>
      </c>
      <c r="AH61" s="26">
        <v>0</v>
      </c>
      <c r="AI61" s="26">
        <v>0</v>
      </c>
      <c r="AJ61" s="27">
        <v>1.32</v>
      </c>
      <c r="AK61" s="27">
        <v>0</v>
      </c>
      <c r="AL61" s="27">
        <v>0</v>
      </c>
      <c r="AM61" s="27">
        <v>0</v>
      </c>
      <c r="AN61" s="27">
        <v>0</v>
      </c>
      <c r="AO61" s="27">
        <v>0</v>
      </c>
      <c r="AP61" s="28">
        <v>2468.4</v>
      </c>
      <c r="AQ61" s="28">
        <v>2583.15</v>
      </c>
      <c r="AR61" s="28">
        <v>2560.1999999999998</v>
      </c>
      <c r="AS61" s="28">
        <v>2583.15</v>
      </c>
      <c r="AT61" s="28">
        <v>2565.3000000000002</v>
      </c>
      <c r="AU61" s="28">
        <v>2575.5</v>
      </c>
      <c r="AV61" s="29">
        <v>2904</v>
      </c>
      <c r="AW61" s="29">
        <v>3039</v>
      </c>
      <c r="AX61" s="29">
        <v>3012</v>
      </c>
      <c r="AY61" s="29">
        <v>3039</v>
      </c>
      <c r="AZ61" s="29">
        <v>3018</v>
      </c>
      <c r="BA61" s="29">
        <v>3030</v>
      </c>
      <c r="BB61" s="30">
        <v>3000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</row>
    <row r="62" spans="1:59" ht="15.75" thickBot="1" x14ac:dyDescent="0.3">
      <c r="A62" s="19" t="s">
        <v>632</v>
      </c>
      <c r="B62" s="19" t="s">
        <v>552</v>
      </c>
      <c r="C62" s="20">
        <v>1</v>
      </c>
      <c r="D62" s="20">
        <v>1</v>
      </c>
      <c r="E62" s="20">
        <v>1</v>
      </c>
      <c r="F62" s="20">
        <v>1</v>
      </c>
      <c r="G62" s="20">
        <v>1</v>
      </c>
      <c r="H62" s="20">
        <v>1</v>
      </c>
      <c r="I62" s="21">
        <v>1</v>
      </c>
      <c r="J62" s="22">
        <v>2.56</v>
      </c>
      <c r="K62" s="22">
        <v>2.67</v>
      </c>
      <c r="L62" s="22">
        <v>3.02</v>
      </c>
      <c r="M62" s="22">
        <v>3.33</v>
      </c>
      <c r="N62" s="22">
        <v>3.67</v>
      </c>
      <c r="O62" s="22">
        <v>3.82</v>
      </c>
      <c r="P62" s="23">
        <v>85</v>
      </c>
      <c r="Q62" s="23">
        <v>0</v>
      </c>
      <c r="R62" s="24">
        <v>85</v>
      </c>
      <c r="S62" s="24">
        <v>85</v>
      </c>
      <c r="T62" s="24">
        <v>85</v>
      </c>
      <c r="U62" s="24">
        <v>85</v>
      </c>
      <c r="V62" s="24">
        <v>85</v>
      </c>
      <c r="W62" s="24">
        <v>85</v>
      </c>
      <c r="X62" s="25">
        <v>0.03</v>
      </c>
      <c r="Y62" s="25">
        <v>7.0000000000000007E-2</v>
      </c>
      <c r="Z62" s="25">
        <v>7.0000000000000007E-2</v>
      </c>
      <c r="AA62" s="25">
        <v>7.0000000000000007E-2</v>
      </c>
      <c r="AB62" s="25">
        <v>7.0000000000000007E-2</v>
      </c>
      <c r="AC62" s="25">
        <v>7.0000000000000007E-2</v>
      </c>
      <c r="AD62" s="26">
        <v>0.03</v>
      </c>
      <c r="AE62" s="26">
        <v>0.06</v>
      </c>
      <c r="AF62" s="26">
        <v>0.06</v>
      </c>
      <c r="AG62" s="26">
        <v>0.06</v>
      </c>
      <c r="AH62" s="26">
        <v>0.06</v>
      </c>
      <c r="AI62" s="26">
        <v>0.06</v>
      </c>
      <c r="AJ62" s="27">
        <v>0.8</v>
      </c>
      <c r="AK62" s="27">
        <v>1.82</v>
      </c>
      <c r="AL62" s="27">
        <v>1.79</v>
      </c>
      <c r="AM62" s="27">
        <v>1.77</v>
      </c>
      <c r="AN62" s="27">
        <v>1.74</v>
      </c>
      <c r="AO62" s="27">
        <v>1.71</v>
      </c>
      <c r="AP62" s="28">
        <v>2468.4</v>
      </c>
      <c r="AQ62" s="28">
        <v>2583.15</v>
      </c>
      <c r="AR62" s="28">
        <v>2560.1999999999998</v>
      </c>
      <c r="AS62" s="28">
        <v>2583.15</v>
      </c>
      <c r="AT62" s="28">
        <v>2565.3000000000002</v>
      </c>
      <c r="AU62" s="28">
        <v>2575.5</v>
      </c>
      <c r="AV62" s="29">
        <v>2904</v>
      </c>
      <c r="AW62" s="29">
        <v>3039</v>
      </c>
      <c r="AX62" s="29">
        <v>3012</v>
      </c>
      <c r="AY62" s="29">
        <v>3039</v>
      </c>
      <c r="AZ62" s="29">
        <v>3018</v>
      </c>
      <c r="BA62" s="29">
        <v>3030</v>
      </c>
      <c r="BB62" s="30">
        <v>9000</v>
      </c>
      <c r="BC62" s="30">
        <v>20747</v>
      </c>
      <c r="BD62" s="30">
        <v>20747</v>
      </c>
      <c r="BE62" s="30">
        <v>20747</v>
      </c>
      <c r="BF62" s="30">
        <v>20747</v>
      </c>
      <c r="BG62" s="30">
        <v>20747</v>
      </c>
    </row>
    <row r="63" spans="1:59" ht="15.75" thickBot="1" x14ac:dyDescent="0.3">
      <c r="A63" s="19" t="s">
        <v>633</v>
      </c>
      <c r="B63" s="19" t="s">
        <v>553</v>
      </c>
      <c r="C63" s="20">
        <v>1</v>
      </c>
      <c r="D63" s="20">
        <v>1</v>
      </c>
      <c r="E63" s="20">
        <v>1</v>
      </c>
      <c r="F63" s="20">
        <v>1</v>
      </c>
      <c r="G63" s="20">
        <v>1</v>
      </c>
      <c r="H63" s="20">
        <v>1</v>
      </c>
      <c r="I63" s="21">
        <v>1</v>
      </c>
      <c r="J63" s="22">
        <v>2.56</v>
      </c>
      <c r="K63" s="22">
        <v>2.67</v>
      </c>
      <c r="L63" s="22">
        <v>3.02</v>
      </c>
      <c r="M63" s="22">
        <v>3.33</v>
      </c>
      <c r="N63" s="22">
        <v>3.67</v>
      </c>
      <c r="O63" s="22">
        <v>3.82</v>
      </c>
      <c r="P63" s="23">
        <v>85</v>
      </c>
      <c r="Q63" s="23">
        <v>0</v>
      </c>
      <c r="R63" s="24">
        <v>85</v>
      </c>
      <c r="S63" s="24">
        <v>85</v>
      </c>
      <c r="T63" s="24">
        <v>85</v>
      </c>
      <c r="U63" s="24">
        <v>85</v>
      </c>
      <c r="V63" s="24">
        <v>85</v>
      </c>
      <c r="W63" s="24">
        <v>85</v>
      </c>
      <c r="X63" s="25">
        <v>0.16</v>
      </c>
      <c r="Y63" s="25">
        <v>0.13</v>
      </c>
      <c r="Z63" s="25">
        <v>0.13</v>
      </c>
      <c r="AA63" s="25">
        <v>0.12</v>
      </c>
      <c r="AB63" s="25">
        <v>0.12</v>
      </c>
      <c r="AC63" s="25">
        <v>0.12</v>
      </c>
      <c r="AD63" s="26">
        <v>0.14000000000000001</v>
      </c>
      <c r="AE63" s="26">
        <v>0.11</v>
      </c>
      <c r="AF63" s="26">
        <v>0.11</v>
      </c>
      <c r="AG63" s="26">
        <v>0.11</v>
      </c>
      <c r="AH63" s="26">
        <v>0.1</v>
      </c>
      <c r="AI63" s="26">
        <v>0.1</v>
      </c>
      <c r="AJ63" s="27">
        <v>4.0599999999999996</v>
      </c>
      <c r="AK63" s="27">
        <v>3.31</v>
      </c>
      <c r="AL63" s="27">
        <v>3.26</v>
      </c>
      <c r="AM63" s="27">
        <v>3.21</v>
      </c>
      <c r="AN63" s="27">
        <v>3.16</v>
      </c>
      <c r="AO63" s="27">
        <v>3.11</v>
      </c>
      <c r="AP63" s="28">
        <v>2468.4</v>
      </c>
      <c r="AQ63" s="28">
        <v>2583.15</v>
      </c>
      <c r="AR63" s="28">
        <v>2560.1999999999998</v>
      </c>
      <c r="AS63" s="28">
        <v>2583.15</v>
      </c>
      <c r="AT63" s="28">
        <v>2565.3000000000002</v>
      </c>
      <c r="AU63" s="28">
        <v>2575.5</v>
      </c>
      <c r="AV63" s="29">
        <v>2904</v>
      </c>
      <c r="AW63" s="29">
        <v>3039</v>
      </c>
      <c r="AX63" s="29">
        <v>3012</v>
      </c>
      <c r="AY63" s="29">
        <v>3039</v>
      </c>
      <c r="AZ63" s="29">
        <v>3018</v>
      </c>
      <c r="BA63" s="29">
        <v>3030</v>
      </c>
      <c r="BB63" s="30">
        <v>34844</v>
      </c>
      <c r="BC63" s="30">
        <v>28903</v>
      </c>
      <c r="BD63" s="30">
        <v>28903</v>
      </c>
      <c r="BE63" s="30">
        <v>28903</v>
      </c>
      <c r="BF63" s="30">
        <v>28903</v>
      </c>
      <c r="BG63" s="30">
        <v>28903</v>
      </c>
    </row>
    <row r="64" spans="1:59" ht="15.75" thickBot="1" x14ac:dyDescent="0.3">
      <c r="A64" s="19" t="s">
        <v>634</v>
      </c>
      <c r="B64" s="19" t="s">
        <v>554</v>
      </c>
      <c r="C64" s="20">
        <v>1</v>
      </c>
      <c r="D64" s="20">
        <v>1</v>
      </c>
      <c r="E64" s="20">
        <v>1</v>
      </c>
      <c r="F64" s="20">
        <v>1</v>
      </c>
      <c r="G64" s="20">
        <v>1</v>
      </c>
      <c r="H64" s="20">
        <v>1</v>
      </c>
      <c r="I64" s="21">
        <v>1</v>
      </c>
      <c r="J64" s="22">
        <v>2.56</v>
      </c>
      <c r="K64" s="22">
        <v>2.67</v>
      </c>
      <c r="L64" s="22">
        <v>3.02</v>
      </c>
      <c r="M64" s="22">
        <v>3.33</v>
      </c>
      <c r="N64" s="22">
        <v>3.67</v>
      </c>
      <c r="O64" s="22">
        <v>3.82</v>
      </c>
      <c r="P64" s="23">
        <v>85</v>
      </c>
      <c r="Q64" s="23">
        <v>0</v>
      </c>
      <c r="R64" s="24">
        <v>85</v>
      </c>
      <c r="S64" s="24">
        <v>85</v>
      </c>
      <c r="T64" s="24">
        <v>85</v>
      </c>
      <c r="U64" s="24">
        <v>85</v>
      </c>
      <c r="V64" s="24">
        <v>85</v>
      </c>
      <c r="W64" s="24">
        <v>85</v>
      </c>
      <c r="X64" s="25">
        <v>0.04</v>
      </c>
      <c r="Y64" s="25">
        <v>0.02</v>
      </c>
      <c r="Z64" s="25">
        <v>0.02</v>
      </c>
      <c r="AA64" s="25">
        <v>0.02</v>
      </c>
      <c r="AB64" s="25">
        <v>0.02</v>
      </c>
      <c r="AC64" s="25">
        <v>0.02</v>
      </c>
      <c r="AD64" s="26">
        <v>0.03</v>
      </c>
      <c r="AE64" s="26">
        <v>0.02</v>
      </c>
      <c r="AF64" s="26">
        <v>0.02</v>
      </c>
      <c r="AG64" s="26">
        <v>0.02</v>
      </c>
      <c r="AH64" s="26">
        <v>0.02</v>
      </c>
      <c r="AI64" s="26">
        <v>0.02</v>
      </c>
      <c r="AJ64" s="27">
        <v>1</v>
      </c>
      <c r="AK64" s="27">
        <v>0.61</v>
      </c>
      <c r="AL64" s="27">
        <v>0.6</v>
      </c>
      <c r="AM64" s="27">
        <v>0.59</v>
      </c>
      <c r="AN64" s="27">
        <v>0.57999999999999996</v>
      </c>
      <c r="AO64" s="27">
        <v>0.56999999999999995</v>
      </c>
      <c r="AP64" s="28">
        <v>2468.4</v>
      </c>
      <c r="AQ64" s="28">
        <v>2583.15</v>
      </c>
      <c r="AR64" s="28">
        <v>2560.1999999999998</v>
      </c>
      <c r="AS64" s="28">
        <v>2583.15</v>
      </c>
      <c r="AT64" s="28">
        <v>2565.3000000000002</v>
      </c>
      <c r="AU64" s="28">
        <v>2575.5</v>
      </c>
      <c r="AV64" s="29">
        <v>2904</v>
      </c>
      <c r="AW64" s="29">
        <v>3039</v>
      </c>
      <c r="AX64" s="29">
        <v>3012</v>
      </c>
      <c r="AY64" s="29">
        <v>3039</v>
      </c>
      <c r="AZ64" s="29">
        <v>3018</v>
      </c>
      <c r="BA64" s="29">
        <v>3030</v>
      </c>
      <c r="BB64" s="30">
        <v>8611</v>
      </c>
      <c r="BC64" s="30">
        <v>5291</v>
      </c>
      <c r="BD64" s="30">
        <v>5291</v>
      </c>
      <c r="BE64" s="30">
        <v>5291</v>
      </c>
      <c r="BF64" s="30">
        <v>5291</v>
      </c>
      <c r="BG64" s="30">
        <v>5291</v>
      </c>
    </row>
    <row r="65" spans="1:59" ht="15.75" thickBot="1" x14ac:dyDescent="0.3">
      <c r="A65" s="19" t="s">
        <v>635</v>
      </c>
      <c r="B65" s="19" t="s">
        <v>555</v>
      </c>
      <c r="C65" s="20">
        <v>1</v>
      </c>
      <c r="D65" s="20">
        <v>1</v>
      </c>
      <c r="E65" s="20">
        <v>1</v>
      </c>
      <c r="F65" s="20">
        <v>1</v>
      </c>
      <c r="G65" s="20">
        <v>1</v>
      </c>
      <c r="H65" s="20">
        <v>1</v>
      </c>
      <c r="I65" s="21">
        <v>1</v>
      </c>
      <c r="J65" s="22">
        <v>2.56</v>
      </c>
      <c r="K65" s="22">
        <v>2.67</v>
      </c>
      <c r="L65" s="22">
        <v>3.02</v>
      </c>
      <c r="M65" s="22">
        <v>3.33</v>
      </c>
      <c r="N65" s="22">
        <v>3.67</v>
      </c>
      <c r="O65" s="22">
        <v>3.82</v>
      </c>
      <c r="P65" s="23">
        <v>85</v>
      </c>
      <c r="Q65" s="23">
        <v>0</v>
      </c>
      <c r="R65" s="24">
        <v>85</v>
      </c>
      <c r="S65" s="24">
        <v>85</v>
      </c>
      <c r="T65" s="24">
        <v>85</v>
      </c>
      <c r="U65" s="24">
        <v>85</v>
      </c>
      <c r="V65" s="24">
        <v>85</v>
      </c>
      <c r="W65" s="24">
        <v>85</v>
      </c>
      <c r="X65" s="25">
        <v>1.48</v>
      </c>
      <c r="Y65" s="25">
        <v>2.81</v>
      </c>
      <c r="Z65" s="25">
        <v>2.8</v>
      </c>
      <c r="AA65" s="25">
        <v>2.73</v>
      </c>
      <c r="AB65" s="25">
        <v>2.7</v>
      </c>
      <c r="AC65" s="25">
        <v>2.65</v>
      </c>
      <c r="AD65" s="26">
        <v>1.25</v>
      </c>
      <c r="AE65" s="26">
        <v>2.39</v>
      </c>
      <c r="AF65" s="26">
        <v>2.38</v>
      </c>
      <c r="AG65" s="26">
        <v>2.3199999999999998</v>
      </c>
      <c r="AH65" s="26">
        <v>2.2999999999999998</v>
      </c>
      <c r="AI65" s="26">
        <v>2.25</v>
      </c>
      <c r="AJ65" s="27">
        <v>36.43</v>
      </c>
      <c r="AK65" s="27">
        <v>72.69</v>
      </c>
      <c r="AL65" s="27">
        <v>71.58</v>
      </c>
      <c r="AM65" s="27">
        <v>70.47</v>
      </c>
      <c r="AN65" s="27">
        <v>69.36</v>
      </c>
      <c r="AO65" s="27">
        <v>68.260000000000005</v>
      </c>
      <c r="AP65" s="28">
        <v>2468.4</v>
      </c>
      <c r="AQ65" s="28">
        <v>2583.15</v>
      </c>
      <c r="AR65" s="28">
        <v>2560.1999999999998</v>
      </c>
      <c r="AS65" s="28">
        <v>2583.15</v>
      </c>
      <c r="AT65" s="28">
        <v>2565.3000000000002</v>
      </c>
      <c r="AU65" s="28">
        <v>2575.5</v>
      </c>
      <c r="AV65" s="29">
        <v>2904</v>
      </c>
      <c r="AW65" s="29">
        <v>3039</v>
      </c>
      <c r="AX65" s="29">
        <v>3012</v>
      </c>
      <c r="AY65" s="29">
        <v>3039</v>
      </c>
      <c r="AZ65" s="29">
        <v>3018</v>
      </c>
      <c r="BA65" s="29">
        <v>3030</v>
      </c>
      <c r="BB65" s="30">
        <v>312991</v>
      </c>
      <c r="BC65" s="30">
        <v>634047</v>
      </c>
      <c r="BD65" s="30">
        <v>634047</v>
      </c>
      <c r="BE65" s="30">
        <v>634047</v>
      </c>
      <c r="BF65" s="30">
        <v>634047</v>
      </c>
      <c r="BG65" s="30">
        <v>634047</v>
      </c>
    </row>
    <row r="66" spans="1:59" ht="15.75" thickBot="1" x14ac:dyDescent="0.3">
      <c r="A66" s="19" t="s">
        <v>636</v>
      </c>
      <c r="B66" s="19" t="s">
        <v>556</v>
      </c>
      <c r="C66" s="20">
        <v>1</v>
      </c>
      <c r="D66" s="20">
        <v>1</v>
      </c>
      <c r="E66" s="20">
        <v>1</v>
      </c>
      <c r="F66" s="20">
        <v>1</v>
      </c>
      <c r="G66" s="20">
        <v>1</v>
      </c>
      <c r="H66" s="20">
        <v>1</v>
      </c>
      <c r="I66" s="21">
        <v>1</v>
      </c>
      <c r="J66" s="22">
        <v>2.56</v>
      </c>
      <c r="K66" s="22">
        <v>2.67</v>
      </c>
      <c r="L66" s="22">
        <v>3.02</v>
      </c>
      <c r="M66" s="22">
        <v>3.33</v>
      </c>
      <c r="N66" s="22">
        <v>3.67</v>
      </c>
      <c r="O66" s="22">
        <v>3.82</v>
      </c>
      <c r="P66" s="23">
        <v>85</v>
      </c>
      <c r="Q66" s="23">
        <v>0</v>
      </c>
      <c r="R66" s="24">
        <v>85</v>
      </c>
      <c r="S66" s="24">
        <v>85</v>
      </c>
      <c r="T66" s="24">
        <v>85</v>
      </c>
      <c r="U66" s="24">
        <v>85</v>
      </c>
      <c r="V66" s="24">
        <v>85</v>
      </c>
      <c r="W66" s="24">
        <v>85</v>
      </c>
      <c r="X66" s="25">
        <v>0.41</v>
      </c>
      <c r="Y66" s="25">
        <v>0.56000000000000005</v>
      </c>
      <c r="Z66" s="25">
        <v>0.55000000000000004</v>
      </c>
      <c r="AA66" s="25">
        <v>0.54</v>
      </c>
      <c r="AB66" s="25">
        <v>0.53</v>
      </c>
      <c r="AC66" s="25">
        <v>0.52</v>
      </c>
      <c r="AD66" s="26">
        <v>0.35</v>
      </c>
      <c r="AE66" s="26">
        <v>0.47</v>
      </c>
      <c r="AF66" s="26">
        <v>0.47</v>
      </c>
      <c r="AG66" s="26">
        <v>0.46</v>
      </c>
      <c r="AH66" s="26">
        <v>0.45</v>
      </c>
      <c r="AI66" s="26">
        <v>0.45</v>
      </c>
      <c r="AJ66" s="27">
        <v>10.11</v>
      </c>
      <c r="AK66" s="27">
        <v>14.36</v>
      </c>
      <c r="AL66" s="27">
        <v>14.14</v>
      </c>
      <c r="AM66" s="27">
        <v>13.92</v>
      </c>
      <c r="AN66" s="27">
        <v>13.7</v>
      </c>
      <c r="AO66" s="27">
        <v>13.49</v>
      </c>
      <c r="AP66" s="28">
        <v>2468.4</v>
      </c>
      <c r="AQ66" s="28">
        <v>2583.15</v>
      </c>
      <c r="AR66" s="28">
        <v>2560.1999999999998</v>
      </c>
      <c r="AS66" s="28">
        <v>2583.15</v>
      </c>
      <c r="AT66" s="28">
        <v>2565.3000000000002</v>
      </c>
      <c r="AU66" s="28">
        <v>2575.5</v>
      </c>
      <c r="AV66" s="29">
        <v>2904</v>
      </c>
      <c r="AW66" s="29">
        <v>3039</v>
      </c>
      <c r="AX66" s="29">
        <v>3012</v>
      </c>
      <c r="AY66" s="29">
        <v>3039</v>
      </c>
      <c r="AZ66" s="29">
        <v>3018</v>
      </c>
      <c r="BA66" s="29">
        <v>3030</v>
      </c>
      <c r="BB66" s="30">
        <v>113469</v>
      </c>
      <c r="BC66" s="30">
        <v>163571</v>
      </c>
      <c r="BD66" s="30">
        <v>163571</v>
      </c>
      <c r="BE66" s="30">
        <v>163571</v>
      </c>
      <c r="BF66" s="30">
        <v>163571</v>
      </c>
      <c r="BG66" s="30">
        <v>163571</v>
      </c>
    </row>
    <row r="67" spans="1:59" ht="15.75" thickBot="1" x14ac:dyDescent="0.3">
      <c r="A67" s="19" t="s">
        <v>637</v>
      </c>
      <c r="B67" s="19" t="s">
        <v>557</v>
      </c>
      <c r="C67" s="20">
        <v>1</v>
      </c>
      <c r="D67" s="20">
        <v>1</v>
      </c>
      <c r="E67" s="20">
        <v>1</v>
      </c>
      <c r="F67" s="20">
        <v>1</v>
      </c>
      <c r="G67" s="20">
        <v>1</v>
      </c>
      <c r="H67" s="20">
        <v>1</v>
      </c>
      <c r="I67" s="21">
        <v>1</v>
      </c>
      <c r="J67" s="22">
        <v>2.56</v>
      </c>
      <c r="K67" s="22">
        <v>2.67</v>
      </c>
      <c r="L67" s="22">
        <v>3.02</v>
      </c>
      <c r="M67" s="22">
        <v>3.33</v>
      </c>
      <c r="N67" s="22">
        <v>3.67</v>
      </c>
      <c r="O67" s="22">
        <v>3.82</v>
      </c>
      <c r="P67" s="23">
        <v>85</v>
      </c>
      <c r="Q67" s="23">
        <v>0</v>
      </c>
      <c r="R67" s="24">
        <v>85</v>
      </c>
      <c r="S67" s="24">
        <v>85</v>
      </c>
      <c r="T67" s="24">
        <v>85</v>
      </c>
      <c r="U67" s="24">
        <v>85</v>
      </c>
      <c r="V67" s="24">
        <v>85</v>
      </c>
      <c r="W67" s="24">
        <v>85</v>
      </c>
      <c r="X67" s="25">
        <v>0.03</v>
      </c>
      <c r="Y67" s="25">
        <v>0.03</v>
      </c>
      <c r="Z67" s="25">
        <v>0.03</v>
      </c>
      <c r="AA67" s="25">
        <v>0.03</v>
      </c>
      <c r="AB67" s="25">
        <v>0.03</v>
      </c>
      <c r="AC67" s="25">
        <v>0.03</v>
      </c>
      <c r="AD67" s="26">
        <v>0.03</v>
      </c>
      <c r="AE67" s="26">
        <v>0.03</v>
      </c>
      <c r="AF67" s="26">
        <v>0.03</v>
      </c>
      <c r="AG67" s="26">
        <v>0.03</v>
      </c>
      <c r="AH67" s="26">
        <v>0.03</v>
      </c>
      <c r="AI67" s="26">
        <v>0.03</v>
      </c>
      <c r="AJ67" s="27">
        <v>0.8</v>
      </c>
      <c r="AK67" s="27">
        <v>0.88</v>
      </c>
      <c r="AL67" s="27">
        <v>0.86</v>
      </c>
      <c r="AM67" s="27">
        <v>0.85</v>
      </c>
      <c r="AN67" s="27">
        <v>0.84</v>
      </c>
      <c r="AO67" s="27">
        <v>0.82</v>
      </c>
      <c r="AP67" s="28">
        <v>2468.4</v>
      </c>
      <c r="AQ67" s="28">
        <v>2583.15</v>
      </c>
      <c r="AR67" s="28">
        <v>2560.1999999999998</v>
      </c>
      <c r="AS67" s="28">
        <v>2583.15</v>
      </c>
      <c r="AT67" s="28">
        <v>2565.3000000000002</v>
      </c>
      <c r="AU67" s="28">
        <v>2575.5</v>
      </c>
      <c r="AV67" s="29">
        <v>2904</v>
      </c>
      <c r="AW67" s="29">
        <v>3039</v>
      </c>
      <c r="AX67" s="29">
        <v>3012</v>
      </c>
      <c r="AY67" s="29">
        <v>3039</v>
      </c>
      <c r="AZ67" s="29">
        <v>3018</v>
      </c>
      <c r="BA67" s="29">
        <v>3030</v>
      </c>
      <c r="BB67" s="30">
        <v>9000</v>
      </c>
      <c r="BC67" s="30">
        <v>10000</v>
      </c>
      <c r="BD67" s="30">
        <v>10000</v>
      </c>
      <c r="BE67" s="30">
        <v>10000</v>
      </c>
      <c r="BF67" s="30">
        <v>10000</v>
      </c>
      <c r="BG67" s="30">
        <v>10000</v>
      </c>
    </row>
    <row r="68" spans="1:59" ht="15.75" thickBot="1" x14ac:dyDescent="0.3">
      <c r="A68" s="19" t="s">
        <v>346</v>
      </c>
      <c r="B68" s="19" t="s">
        <v>347</v>
      </c>
      <c r="C68" s="20">
        <v>1</v>
      </c>
      <c r="D68" s="20">
        <v>1</v>
      </c>
      <c r="E68" s="20">
        <v>1</v>
      </c>
      <c r="F68" s="20">
        <v>1</v>
      </c>
      <c r="G68" s="20">
        <v>1</v>
      </c>
      <c r="H68" s="20">
        <v>1</v>
      </c>
      <c r="I68" s="21">
        <v>1</v>
      </c>
      <c r="J68" s="22">
        <v>2.56</v>
      </c>
      <c r="K68" s="22">
        <v>2.67</v>
      </c>
      <c r="L68" s="22">
        <v>3.02</v>
      </c>
      <c r="M68" s="22">
        <v>3.33</v>
      </c>
      <c r="N68" s="22">
        <v>3.67</v>
      </c>
      <c r="O68" s="22">
        <v>3.82</v>
      </c>
      <c r="P68" s="23">
        <v>85</v>
      </c>
      <c r="Q68" s="23">
        <v>0</v>
      </c>
      <c r="R68" s="24">
        <v>85</v>
      </c>
      <c r="S68" s="24">
        <v>85</v>
      </c>
      <c r="T68" s="24">
        <v>85</v>
      </c>
      <c r="U68" s="24">
        <v>85</v>
      </c>
      <c r="V68" s="24">
        <v>85</v>
      </c>
      <c r="W68" s="24">
        <v>85</v>
      </c>
      <c r="X68" s="25">
        <v>6.49</v>
      </c>
      <c r="Y68" s="25">
        <v>6.1</v>
      </c>
      <c r="Z68" s="25">
        <v>6.06</v>
      </c>
      <c r="AA68" s="25">
        <v>5.92</v>
      </c>
      <c r="AB68" s="25">
        <v>5.86</v>
      </c>
      <c r="AC68" s="25">
        <v>5.75</v>
      </c>
      <c r="AD68" s="26">
        <v>5.52</v>
      </c>
      <c r="AE68" s="26">
        <v>5.19</v>
      </c>
      <c r="AF68" s="26">
        <v>5.15</v>
      </c>
      <c r="AG68" s="26">
        <v>5.03</v>
      </c>
      <c r="AH68" s="26">
        <v>4.9800000000000004</v>
      </c>
      <c r="AI68" s="26">
        <v>4.8899999999999997</v>
      </c>
      <c r="AJ68" s="27">
        <v>160.31</v>
      </c>
      <c r="AK68" s="27">
        <v>157.62</v>
      </c>
      <c r="AL68" s="27">
        <v>155.22</v>
      </c>
      <c r="AM68" s="27">
        <v>152.82</v>
      </c>
      <c r="AN68" s="27">
        <v>150.41999999999999</v>
      </c>
      <c r="AO68" s="27">
        <v>148.02000000000001</v>
      </c>
      <c r="AP68" s="28">
        <v>2468.4</v>
      </c>
      <c r="AQ68" s="28">
        <v>2583.15</v>
      </c>
      <c r="AR68" s="28">
        <v>2560.1999999999998</v>
      </c>
      <c r="AS68" s="28">
        <v>2583.15</v>
      </c>
      <c r="AT68" s="28">
        <v>2565.3000000000002</v>
      </c>
      <c r="AU68" s="28">
        <v>2575.5</v>
      </c>
      <c r="AV68" s="29">
        <v>2904</v>
      </c>
      <c r="AW68" s="29">
        <v>3039</v>
      </c>
      <c r="AX68" s="29">
        <v>3012</v>
      </c>
      <c r="AY68" s="29">
        <v>3039</v>
      </c>
      <c r="AZ68" s="29">
        <v>3018</v>
      </c>
      <c r="BA68" s="29">
        <v>3030</v>
      </c>
      <c r="BB68" s="30">
        <v>157103</v>
      </c>
      <c r="BC68" s="30">
        <v>156818</v>
      </c>
      <c r="BD68" s="30">
        <v>156818</v>
      </c>
      <c r="BE68" s="30">
        <v>156818</v>
      </c>
      <c r="BF68" s="30">
        <v>156818</v>
      </c>
      <c r="BG68" s="30">
        <v>156818</v>
      </c>
    </row>
    <row r="69" spans="1:59" ht="15.75" thickBot="1" x14ac:dyDescent="0.3">
      <c r="A69" s="19" t="s">
        <v>638</v>
      </c>
      <c r="B69" s="19" t="s">
        <v>558</v>
      </c>
      <c r="C69" s="20">
        <v>1</v>
      </c>
      <c r="D69" s="20">
        <v>1</v>
      </c>
      <c r="E69" s="20">
        <v>1</v>
      </c>
      <c r="F69" s="20">
        <v>1</v>
      </c>
      <c r="G69" s="20">
        <v>1</v>
      </c>
      <c r="H69" s="20">
        <v>1</v>
      </c>
      <c r="I69" s="21">
        <v>1</v>
      </c>
      <c r="J69" s="22">
        <v>2.56</v>
      </c>
      <c r="K69" s="22">
        <v>2.67</v>
      </c>
      <c r="L69" s="22">
        <v>3.02</v>
      </c>
      <c r="M69" s="22">
        <v>3.33</v>
      </c>
      <c r="N69" s="22">
        <v>3.67</v>
      </c>
      <c r="O69" s="22">
        <v>3.82</v>
      </c>
      <c r="P69" s="23">
        <v>85</v>
      </c>
      <c r="Q69" s="23">
        <v>0</v>
      </c>
      <c r="R69" s="24">
        <v>85</v>
      </c>
      <c r="S69" s="24">
        <v>85</v>
      </c>
      <c r="T69" s="24">
        <v>85</v>
      </c>
      <c r="U69" s="24">
        <v>85</v>
      </c>
      <c r="V69" s="24">
        <v>85</v>
      </c>
      <c r="W69" s="24">
        <v>85</v>
      </c>
      <c r="X69" s="25">
        <v>0</v>
      </c>
      <c r="Y69" s="25">
        <v>0.04</v>
      </c>
      <c r="Z69" s="25">
        <v>0.04</v>
      </c>
      <c r="AA69" s="25">
        <v>0.03</v>
      </c>
      <c r="AB69" s="25">
        <v>0.03</v>
      </c>
      <c r="AC69" s="25">
        <v>0.03</v>
      </c>
      <c r="AD69" s="26">
        <v>0</v>
      </c>
      <c r="AE69" s="26">
        <v>0.03</v>
      </c>
      <c r="AF69" s="26">
        <v>0.03</v>
      </c>
      <c r="AG69" s="26">
        <v>0.03</v>
      </c>
      <c r="AH69" s="26">
        <v>0.03</v>
      </c>
      <c r="AI69" s="26">
        <v>0.03</v>
      </c>
      <c r="AJ69" s="27">
        <v>0</v>
      </c>
      <c r="AK69" s="27">
        <v>0.93</v>
      </c>
      <c r="AL69" s="27">
        <v>0.91</v>
      </c>
      <c r="AM69" s="27">
        <v>0.9</v>
      </c>
      <c r="AN69" s="27">
        <v>0.89</v>
      </c>
      <c r="AO69" s="27">
        <v>0.87</v>
      </c>
      <c r="AP69" s="28">
        <v>2468.4</v>
      </c>
      <c r="AQ69" s="28">
        <v>2583.15</v>
      </c>
      <c r="AR69" s="28">
        <v>2560.1999999999998</v>
      </c>
      <c r="AS69" s="28">
        <v>2583.15</v>
      </c>
      <c r="AT69" s="28">
        <v>2565.3000000000002</v>
      </c>
      <c r="AU69" s="28">
        <v>2575.5</v>
      </c>
      <c r="AV69" s="29">
        <v>2904</v>
      </c>
      <c r="AW69" s="29">
        <v>3039</v>
      </c>
      <c r="AX69" s="29">
        <v>3012</v>
      </c>
      <c r="AY69" s="29">
        <v>3039</v>
      </c>
      <c r="AZ69" s="29">
        <v>3018</v>
      </c>
      <c r="BA69" s="29">
        <v>3030</v>
      </c>
      <c r="BB69" s="30">
        <v>0</v>
      </c>
      <c r="BC69" s="30">
        <v>10578</v>
      </c>
      <c r="BD69" s="30">
        <v>10578</v>
      </c>
      <c r="BE69" s="30">
        <v>10578</v>
      </c>
      <c r="BF69" s="30">
        <v>10578</v>
      </c>
      <c r="BG69" s="30">
        <v>10578</v>
      </c>
    </row>
    <row r="70" spans="1:59" ht="15.75" thickBot="1" x14ac:dyDescent="0.3">
      <c r="A70" s="19" t="s">
        <v>639</v>
      </c>
      <c r="B70" s="19" t="s">
        <v>559</v>
      </c>
      <c r="C70" s="20">
        <v>1</v>
      </c>
      <c r="D70" s="20">
        <v>1</v>
      </c>
      <c r="E70" s="20">
        <v>1</v>
      </c>
      <c r="F70" s="20">
        <v>1</v>
      </c>
      <c r="G70" s="20">
        <v>1</v>
      </c>
      <c r="H70" s="20">
        <v>1</v>
      </c>
      <c r="I70" s="21">
        <v>1</v>
      </c>
      <c r="J70" s="22">
        <v>2.56</v>
      </c>
      <c r="K70" s="22">
        <v>2.67</v>
      </c>
      <c r="L70" s="22">
        <v>3.02</v>
      </c>
      <c r="M70" s="22">
        <v>3.33</v>
      </c>
      <c r="N70" s="22">
        <v>3.67</v>
      </c>
      <c r="O70" s="22">
        <v>3.82</v>
      </c>
      <c r="P70" s="23">
        <v>85</v>
      </c>
      <c r="Q70" s="23">
        <v>0</v>
      </c>
      <c r="R70" s="24">
        <v>85</v>
      </c>
      <c r="S70" s="24">
        <v>85</v>
      </c>
      <c r="T70" s="24">
        <v>85</v>
      </c>
      <c r="U70" s="24">
        <v>85</v>
      </c>
      <c r="V70" s="24">
        <v>85</v>
      </c>
      <c r="W70" s="24">
        <v>85</v>
      </c>
      <c r="X70" s="25">
        <v>0.21</v>
      </c>
      <c r="Y70" s="25">
        <v>0.23</v>
      </c>
      <c r="Z70" s="25">
        <v>0.22</v>
      </c>
      <c r="AA70" s="25">
        <v>0.22</v>
      </c>
      <c r="AB70" s="25">
        <v>0.22</v>
      </c>
      <c r="AC70" s="25">
        <v>0.21</v>
      </c>
      <c r="AD70" s="26">
        <v>0.18</v>
      </c>
      <c r="AE70" s="26">
        <v>0.19</v>
      </c>
      <c r="AF70" s="26">
        <v>0.19</v>
      </c>
      <c r="AG70" s="26">
        <v>0.19</v>
      </c>
      <c r="AH70" s="26">
        <v>0.18</v>
      </c>
      <c r="AI70" s="26">
        <v>0.18</v>
      </c>
      <c r="AJ70" s="27">
        <v>5.19</v>
      </c>
      <c r="AK70" s="27">
        <v>5.84</v>
      </c>
      <c r="AL70" s="27">
        <v>5.75</v>
      </c>
      <c r="AM70" s="27">
        <v>5.66</v>
      </c>
      <c r="AN70" s="27">
        <v>5.57</v>
      </c>
      <c r="AO70" s="27">
        <v>5.48</v>
      </c>
      <c r="AP70" s="28">
        <v>2468.4</v>
      </c>
      <c r="AQ70" s="28">
        <v>2583.15</v>
      </c>
      <c r="AR70" s="28">
        <v>2560.1999999999998</v>
      </c>
      <c r="AS70" s="28">
        <v>2583.15</v>
      </c>
      <c r="AT70" s="28">
        <v>2565.3000000000002</v>
      </c>
      <c r="AU70" s="28">
        <v>2575.5</v>
      </c>
      <c r="AV70" s="29">
        <v>2904</v>
      </c>
      <c r="AW70" s="29">
        <v>3039</v>
      </c>
      <c r="AX70" s="29">
        <v>3012</v>
      </c>
      <c r="AY70" s="29">
        <v>3039</v>
      </c>
      <c r="AZ70" s="29">
        <v>3018</v>
      </c>
      <c r="BA70" s="29">
        <v>3030</v>
      </c>
      <c r="BB70" s="30">
        <v>39313</v>
      </c>
      <c r="BC70" s="30">
        <v>44947</v>
      </c>
      <c r="BD70" s="30">
        <v>44947</v>
      </c>
      <c r="BE70" s="30">
        <v>44947</v>
      </c>
      <c r="BF70" s="30">
        <v>44947</v>
      </c>
      <c r="BG70" s="30">
        <v>44947</v>
      </c>
    </row>
    <row r="71" spans="1:59" ht="15.75" thickBot="1" x14ac:dyDescent="0.3">
      <c r="A71" s="19" t="s">
        <v>640</v>
      </c>
      <c r="B71" s="19" t="s">
        <v>560</v>
      </c>
      <c r="C71" s="20">
        <v>1</v>
      </c>
      <c r="D71" s="20">
        <v>1</v>
      </c>
      <c r="E71" s="20">
        <v>1</v>
      </c>
      <c r="F71" s="20">
        <v>1</v>
      </c>
      <c r="G71" s="20">
        <v>1</v>
      </c>
      <c r="H71" s="20">
        <v>1</v>
      </c>
      <c r="I71" s="21">
        <v>1</v>
      </c>
      <c r="J71" s="22">
        <v>2.56</v>
      </c>
      <c r="K71" s="22">
        <v>2.67</v>
      </c>
      <c r="L71" s="22">
        <v>3.02</v>
      </c>
      <c r="M71" s="22">
        <v>3.33</v>
      </c>
      <c r="N71" s="22">
        <v>3.67</v>
      </c>
      <c r="O71" s="22">
        <v>3.82</v>
      </c>
      <c r="P71" s="23">
        <v>85</v>
      </c>
      <c r="Q71" s="23">
        <v>0</v>
      </c>
      <c r="R71" s="24">
        <v>85</v>
      </c>
      <c r="S71" s="24">
        <v>85</v>
      </c>
      <c r="T71" s="24">
        <v>85</v>
      </c>
      <c r="U71" s="24">
        <v>85</v>
      </c>
      <c r="V71" s="24">
        <v>85</v>
      </c>
      <c r="W71" s="24">
        <v>85</v>
      </c>
      <c r="X71" s="25">
        <v>0.04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6">
        <v>0.03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7">
        <v>0.88</v>
      </c>
      <c r="AK71" s="27">
        <v>0</v>
      </c>
      <c r="AL71" s="27">
        <v>0</v>
      </c>
      <c r="AM71" s="27">
        <v>0</v>
      </c>
      <c r="AN71" s="27">
        <v>0</v>
      </c>
      <c r="AO71" s="27">
        <v>0</v>
      </c>
      <c r="AP71" s="28">
        <v>2468.4</v>
      </c>
      <c r="AQ71" s="28">
        <v>2583.15</v>
      </c>
      <c r="AR71" s="28">
        <v>2560.1999999999998</v>
      </c>
      <c r="AS71" s="28">
        <v>2583.15</v>
      </c>
      <c r="AT71" s="28">
        <v>2565.3000000000002</v>
      </c>
      <c r="AU71" s="28">
        <v>2575.5</v>
      </c>
      <c r="AV71" s="29">
        <v>2904</v>
      </c>
      <c r="AW71" s="29">
        <v>3039</v>
      </c>
      <c r="AX71" s="29">
        <v>3012</v>
      </c>
      <c r="AY71" s="29">
        <v>3039</v>
      </c>
      <c r="AZ71" s="29">
        <v>3018</v>
      </c>
      <c r="BA71" s="29">
        <v>3030</v>
      </c>
      <c r="BB71" s="30">
        <v>2000</v>
      </c>
      <c r="BC71" s="30">
        <v>0</v>
      </c>
      <c r="BD71" s="30">
        <v>0</v>
      </c>
      <c r="BE71" s="30">
        <v>0</v>
      </c>
      <c r="BF71" s="30">
        <v>0</v>
      </c>
      <c r="BG71" s="30">
        <v>0</v>
      </c>
    </row>
    <row r="72" spans="1:59" ht="15.75" thickBot="1" x14ac:dyDescent="0.3">
      <c r="A72" s="19" t="s">
        <v>641</v>
      </c>
      <c r="B72" s="19" t="s">
        <v>561</v>
      </c>
      <c r="C72" s="20">
        <v>1</v>
      </c>
      <c r="D72" s="20">
        <v>1</v>
      </c>
      <c r="E72" s="20">
        <v>1</v>
      </c>
      <c r="F72" s="20">
        <v>1</v>
      </c>
      <c r="G72" s="20">
        <v>1</v>
      </c>
      <c r="H72" s="20">
        <v>1</v>
      </c>
      <c r="I72" s="21">
        <v>1</v>
      </c>
      <c r="J72" s="22">
        <v>2.56</v>
      </c>
      <c r="K72" s="22">
        <v>2.67</v>
      </c>
      <c r="L72" s="22">
        <v>3.02</v>
      </c>
      <c r="M72" s="22">
        <v>3.33</v>
      </c>
      <c r="N72" s="22">
        <v>3.67</v>
      </c>
      <c r="O72" s="22">
        <v>3.82</v>
      </c>
      <c r="P72" s="23">
        <v>85</v>
      </c>
      <c r="Q72" s="23">
        <v>0</v>
      </c>
      <c r="R72" s="24">
        <v>85</v>
      </c>
      <c r="S72" s="24">
        <v>85</v>
      </c>
      <c r="T72" s="24">
        <v>85</v>
      </c>
      <c r="U72" s="24">
        <v>85</v>
      </c>
      <c r="V72" s="24">
        <v>85</v>
      </c>
      <c r="W72" s="24">
        <v>85</v>
      </c>
      <c r="X72" s="25">
        <v>1.93</v>
      </c>
      <c r="Y72" s="25">
        <v>3.18</v>
      </c>
      <c r="Z72" s="25">
        <v>3.16</v>
      </c>
      <c r="AA72" s="25">
        <v>3.08</v>
      </c>
      <c r="AB72" s="25">
        <v>3.06</v>
      </c>
      <c r="AC72" s="25">
        <v>3</v>
      </c>
      <c r="AD72" s="26">
        <v>1.64</v>
      </c>
      <c r="AE72" s="26">
        <v>2.7</v>
      </c>
      <c r="AF72" s="26">
        <v>2.69</v>
      </c>
      <c r="AG72" s="26">
        <v>2.62</v>
      </c>
      <c r="AH72" s="26">
        <v>2.6</v>
      </c>
      <c r="AI72" s="26">
        <v>2.5499999999999998</v>
      </c>
      <c r="AJ72" s="27">
        <v>47.56</v>
      </c>
      <c r="AK72" s="27">
        <v>82.17</v>
      </c>
      <c r="AL72" s="27">
        <v>80.92</v>
      </c>
      <c r="AM72" s="27">
        <v>79.67</v>
      </c>
      <c r="AN72" s="27">
        <v>78.42</v>
      </c>
      <c r="AO72" s="27">
        <v>77.17</v>
      </c>
      <c r="AP72" s="28">
        <v>2468.4</v>
      </c>
      <c r="AQ72" s="28">
        <v>2583.15</v>
      </c>
      <c r="AR72" s="28">
        <v>2560.1999999999998</v>
      </c>
      <c r="AS72" s="28">
        <v>2583.15</v>
      </c>
      <c r="AT72" s="28">
        <v>2565.3000000000002</v>
      </c>
      <c r="AU72" s="28">
        <v>2575.5</v>
      </c>
      <c r="AV72" s="29">
        <v>2904</v>
      </c>
      <c r="AW72" s="29">
        <v>3039</v>
      </c>
      <c r="AX72" s="29">
        <v>3012</v>
      </c>
      <c r="AY72" s="29">
        <v>3039</v>
      </c>
      <c r="AZ72" s="29">
        <v>3018</v>
      </c>
      <c r="BA72" s="29">
        <v>3030</v>
      </c>
      <c r="BB72" s="30">
        <v>191748</v>
      </c>
      <c r="BC72" s="30">
        <v>336363</v>
      </c>
      <c r="BD72" s="30">
        <v>336363</v>
      </c>
      <c r="BE72" s="30">
        <v>336363</v>
      </c>
      <c r="BF72" s="30">
        <v>336363</v>
      </c>
      <c r="BG72" s="30">
        <v>336363</v>
      </c>
    </row>
    <row r="73" spans="1:59" ht="15.75" thickBot="1" x14ac:dyDescent="0.3">
      <c r="A73" s="19" t="s">
        <v>354</v>
      </c>
      <c r="B73" s="19" t="s">
        <v>321</v>
      </c>
      <c r="C73" s="20">
        <v>1</v>
      </c>
      <c r="D73" s="20">
        <v>1</v>
      </c>
      <c r="E73" s="20">
        <v>1</v>
      </c>
      <c r="F73" s="20">
        <v>1</v>
      </c>
      <c r="G73" s="20">
        <v>1</v>
      </c>
      <c r="H73" s="20">
        <v>1</v>
      </c>
      <c r="I73" s="21">
        <v>1</v>
      </c>
      <c r="J73" s="22">
        <v>2.56</v>
      </c>
      <c r="K73" s="22">
        <v>2.67</v>
      </c>
      <c r="L73" s="22">
        <v>3.02</v>
      </c>
      <c r="M73" s="22">
        <v>3.33</v>
      </c>
      <c r="N73" s="22">
        <v>3.67</v>
      </c>
      <c r="O73" s="22">
        <v>3.82</v>
      </c>
      <c r="P73" s="23">
        <v>85</v>
      </c>
      <c r="Q73" s="23">
        <v>0</v>
      </c>
      <c r="R73" s="24">
        <v>85</v>
      </c>
      <c r="S73" s="24">
        <v>85</v>
      </c>
      <c r="T73" s="24">
        <v>85</v>
      </c>
      <c r="U73" s="24">
        <v>85</v>
      </c>
      <c r="V73" s="24">
        <v>85</v>
      </c>
      <c r="W73" s="24">
        <v>85</v>
      </c>
      <c r="X73" s="25">
        <v>2.3199999999999998</v>
      </c>
      <c r="Y73" s="25">
        <v>1.68</v>
      </c>
      <c r="Z73" s="25">
        <v>1.67</v>
      </c>
      <c r="AA73" s="25">
        <v>1.63</v>
      </c>
      <c r="AB73" s="25">
        <v>1.61</v>
      </c>
      <c r="AC73" s="25">
        <v>1.58</v>
      </c>
      <c r="AD73" s="26">
        <v>1.97</v>
      </c>
      <c r="AE73" s="26">
        <v>1.42</v>
      </c>
      <c r="AF73" s="26">
        <v>1.42</v>
      </c>
      <c r="AG73" s="26">
        <v>1.38</v>
      </c>
      <c r="AH73" s="26">
        <v>1.37</v>
      </c>
      <c r="AI73" s="26">
        <v>1.34</v>
      </c>
      <c r="AJ73" s="27">
        <v>57.27</v>
      </c>
      <c r="AK73" s="27">
        <v>43.3</v>
      </c>
      <c r="AL73" s="27">
        <v>42.64</v>
      </c>
      <c r="AM73" s="27">
        <v>41.98</v>
      </c>
      <c r="AN73" s="27">
        <v>41.32</v>
      </c>
      <c r="AO73" s="27">
        <v>40.67</v>
      </c>
      <c r="AP73" s="28">
        <v>2468.4</v>
      </c>
      <c r="AQ73" s="28">
        <v>2583.15</v>
      </c>
      <c r="AR73" s="28">
        <v>2560.1999999999998</v>
      </c>
      <c r="AS73" s="28">
        <v>2583.15</v>
      </c>
      <c r="AT73" s="28">
        <v>2565.3000000000002</v>
      </c>
      <c r="AU73" s="28">
        <v>2575.5</v>
      </c>
      <c r="AV73" s="29">
        <v>2904</v>
      </c>
      <c r="AW73" s="29">
        <v>3039</v>
      </c>
      <c r="AX73" s="29">
        <v>3012</v>
      </c>
      <c r="AY73" s="29">
        <v>3039</v>
      </c>
      <c r="AZ73" s="29">
        <v>3018</v>
      </c>
      <c r="BA73" s="29">
        <v>3030</v>
      </c>
      <c r="BB73" s="30">
        <v>268452</v>
      </c>
      <c r="BC73" s="30">
        <v>206090</v>
      </c>
      <c r="BD73" s="30">
        <v>206090</v>
      </c>
      <c r="BE73" s="30">
        <v>206090</v>
      </c>
      <c r="BF73" s="30">
        <v>206090</v>
      </c>
      <c r="BG73" s="30">
        <v>206090</v>
      </c>
    </row>
    <row r="74" spans="1:59" ht="15.75" thickBot="1" x14ac:dyDescent="0.3">
      <c r="A74" s="19" t="s">
        <v>355</v>
      </c>
      <c r="B74" s="19" t="s">
        <v>335</v>
      </c>
      <c r="C74" s="20">
        <v>1</v>
      </c>
      <c r="D74" s="20">
        <v>1</v>
      </c>
      <c r="E74" s="20">
        <v>1</v>
      </c>
      <c r="F74" s="20">
        <v>1</v>
      </c>
      <c r="G74" s="20">
        <v>1</v>
      </c>
      <c r="H74" s="20">
        <v>1</v>
      </c>
      <c r="I74" s="21">
        <v>1</v>
      </c>
      <c r="J74" s="22">
        <v>2.56</v>
      </c>
      <c r="K74" s="22">
        <v>2.67</v>
      </c>
      <c r="L74" s="22">
        <v>3.02</v>
      </c>
      <c r="M74" s="22">
        <v>3.33</v>
      </c>
      <c r="N74" s="22">
        <v>3.67</v>
      </c>
      <c r="O74" s="22">
        <v>3.82</v>
      </c>
      <c r="P74" s="23">
        <v>85</v>
      </c>
      <c r="Q74" s="23">
        <v>0</v>
      </c>
      <c r="R74" s="24">
        <v>85</v>
      </c>
      <c r="S74" s="24">
        <v>85</v>
      </c>
      <c r="T74" s="24">
        <v>85</v>
      </c>
      <c r="U74" s="24">
        <v>85</v>
      </c>
      <c r="V74" s="24">
        <v>85</v>
      </c>
      <c r="W74" s="24">
        <v>85</v>
      </c>
      <c r="X74" s="25">
        <v>2.3199999999999998</v>
      </c>
      <c r="Y74" s="25">
        <v>1.82</v>
      </c>
      <c r="Z74" s="25">
        <v>1.81</v>
      </c>
      <c r="AA74" s="25">
        <v>1.77</v>
      </c>
      <c r="AB74" s="25">
        <v>1.75</v>
      </c>
      <c r="AC74" s="25">
        <v>1.72</v>
      </c>
      <c r="AD74" s="26">
        <v>1.97</v>
      </c>
      <c r="AE74" s="26">
        <v>1.55</v>
      </c>
      <c r="AF74" s="26">
        <v>1.54</v>
      </c>
      <c r="AG74" s="26">
        <v>1.5</v>
      </c>
      <c r="AH74" s="26">
        <v>1.49</v>
      </c>
      <c r="AI74" s="26">
        <v>1.46</v>
      </c>
      <c r="AJ74" s="27">
        <v>57.27</v>
      </c>
      <c r="AK74" s="27">
        <v>47.07</v>
      </c>
      <c r="AL74" s="27">
        <v>46.35</v>
      </c>
      <c r="AM74" s="27">
        <v>45.63</v>
      </c>
      <c r="AN74" s="27">
        <v>44.92</v>
      </c>
      <c r="AO74" s="27">
        <v>44.2</v>
      </c>
      <c r="AP74" s="28">
        <v>2468.4</v>
      </c>
      <c r="AQ74" s="28">
        <v>2583.15</v>
      </c>
      <c r="AR74" s="28">
        <v>2560.1999999999998</v>
      </c>
      <c r="AS74" s="28">
        <v>2583.15</v>
      </c>
      <c r="AT74" s="28">
        <v>2565.3000000000002</v>
      </c>
      <c r="AU74" s="28">
        <v>2575.5</v>
      </c>
      <c r="AV74" s="29">
        <v>2904</v>
      </c>
      <c r="AW74" s="29">
        <v>3039</v>
      </c>
      <c r="AX74" s="29">
        <v>3012</v>
      </c>
      <c r="AY74" s="29">
        <v>3039</v>
      </c>
      <c r="AZ74" s="29">
        <v>3018</v>
      </c>
      <c r="BA74" s="29">
        <v>3030</v>
      </c>
      <c r="BB74" s="30">
        <v>268452</v>
      </c>
      <c r="BC74" s="30">
        <v>224001</v>
      </c>
      <c r="BD74" s="30">
        <v>224001</v>
      </c>
      <c r="BE74" s="30">
        <v>224001</v>
      </c>
      <c r="BF74" s="30">
        <v>224001</v>
      </c>
      <c r="BG74" s="30">
        <v>224001</v>
      </c>
    </row>
    <row r="75" spans="1:59" ht="15.75" thickBot="1" x14ac:dyDescent="0.3">
      <c r="A75" s="19" t="s">
        <v>642</v>
      </c>
      <c r="B75" s="19" t="s">
        <v>562</v>
      </c>
      <c r="C75" s="20">
        <v>1</v>
      </c>
      <c r="D75" s="20">
        <v>1</v>
      </c>
      <c r="E75" s="20">
        <v>1</v>
      </c>
      <c r="F75" s="20">
        <v>1</v>
      </c>
      <c r="G75" s="20">
        <v>1</v>
      </c>
      <c r="H75" s="20">
        <v>1</v>
      </c>
      <c r="I75" s="21">
        <v>1</v>
      </c>
      <c r="J75" s="22">
        <v>2.56</v>
      </c>
      <c r="K75" s="22">
        <v>2.67</v>
      </c>
      <c r="L75" s="22">
        <v>3.02</v>
      </c>
      <c r="M75" s="22">
        <v>3.33</v>
      </c>
      <c r="N75" s="22">
        <v>3.67</v>
      </c>
      <c r="O75" s="22">
        <v>3.82</v>
      </c>
      <c r="P75" s="23">
        <v>85</v>
      </c>
      <c r="Q75" s="23">
        <v>0</v>
      </c>
      <c r="R75" s="24">
        <v>85</v>
      </c>
      <c r="S75" s="24">
        <v>85</v>
      </c>
      <c r="T75" s="24">
        <v>85</v>
      </c>
      <c r="U75" s="24">
        <v>85</v>
      </c>
      <c r="V75" s="24">
        <v>85</v>
      </c>
      <c r="W75" s="24">
        <v>85</v>
      </c>
      <c r="X75" s="25">
        <v>4.3600000000000003</v>
      </c>
      <c r="Y75" s="25">
        <v>4.5</v>
      </c>
      <c r="Z75" s="25">
        <v>4.47</v>
      </c>
      <c r="AA75" s="25">
        <v>4.3600000000000003</v>
      </c>
      <c r="AB75" s="25">
        <v>4.33</v>
      </c>
      <c r="AC75" s="25">
        <v>4.24</v>
      </c>
      <c r="AD75" s="26">
        <v>3.71</v>
      </c>
      <c r="AE75" s="26">
        <v>3.83</v>
      </c>
      <c r="AF75" s="26">
        <v>3.8</v>
      </c>
      <c r="AG75" s="26">
        <v>3.71</v>
      </c>
      <c r="AH75" s="26">
        <v>3.68</v>
      </c>
      <c r="AI75" s="26">
        <v>3.6</v>
      </c>
      <c r="AJ75" s="27">
        <v>107.63</v>
      </c>
      <c r="AK75" s="27">
        <v>116.28</v>
      </c>
      <c r="AL75" s="27">
        <v>114.51</v>
      </c>
      <c r="AM75" s="27">
        <v>112.74</v>
      </c>
      <c r="AN75" s="27">
        <v>110.97</v>
      </c>
      <c r="AO75" s="27">
        <v>109.2</v>
      </c>
      <c r="AP75" s="28">
        <v>2468.4</v>
      </c>
      <c r="AQ75" s="28">
        <v>2583.15</v>
      </c>
      <c r="AR75" s="28">
        <v>2560.1999999999998</v>
      </c>
      <c r="AS75" s="28">
        <v>2583.15</v>
      </c>
      <c r="AT75" s="28">
        <v>2565.3000000000002</v>
      </c>
      <c r="AU75" s="28">
        <v>2575.5</v>
      </c>
      <c r="AV75" s="29">
        <v>2904</v>
      </c>
      <c r="AW75" s="29">
        <v>3039</v>
      </c>
      <c r="AX75" s="29">
        <v>3012</v>
      </c>
      <c r="AY75" s="29">
        <v>3039</v>
      </c>
      <c r="AZ75" s="29">
        <v>3018</v>
      </c>
      <c r="BA75" s="29">
        <v>3030</v>
      </c>
      <c r="BB75" s="30">
        <v>1464706</v>
      </c>
      <c r="BC75" s="30">
        <v>1606471</v>
      </c>
      <c r="BD75" s="30">
        <v>1606471</v>
      </c>
      <c r="BE75" s="30">
        <v>1606471</v>
      </c>
      <c r="BF75" s="30">
        <v>1606471</v>
      </c>
      <c r="BG75" s="30">
        <v>1606471</v>
      </c>
    </row>
    <row r="76" spans="1:59" ht="15.75" thickBot="1" x14ac:dyDescent="0.3">
      <c r="A76" s="19" t="s">
        <v>643</v>
      </c>
      <c r="B76" s="19" t="s">
        <v>563</v>
      </c>
      <c r="C76" s="20">
        <v>1</v>
      </c>
      <c r="D76" s="20">
        <v>1</v>
      </c>
      <c r="E76" s="20">
        <v>1</v>
      </c>
      <c r="F76" s="20">
        <v>1</v>
      </c>
      <c r="G76" s="20">
        <v>1</v>
      </c>
      <c r="H76" s="20">
        <v>1</v>
      </c>
      <c r="I76" s="21">
        <v>1</v>
      </c>
      <c r="J76" s="22">
        <v>2.56</v>
      </c>
      <c r="K76" s="22">
        <v>2.67</v>
      </c>
      <c r="L76" s="22">
        <v>3.02</v>
      </c>
      <c r="M76" s="22">
        <v>3.33</v>
      </c>
      <c r="N76" s="22">
        <v>3.67</v>
      </c>
      <c r="O76" s="22">
        <v>3.82</v>
      </c>
      <c r="P76" s="23">
        <v>85</v>
      </c>
      <c r="Q76" s="23">
        <v>0</v>
      </c>
      <c r="R76" s="24">
        <v>85</v>
      </c>
      <c r="S76" s="24">
        <v>85</v>
      </c>
      <c r="T76" s="24">
        <v>85</v>
      </c>
      <c r="U76" s="24">
        <v>85</v>
      </c>
      <c r="V76" s="24">
        <v>85</v>
      </c>
      <c r="W76" s="24">
        <v>85</v>
      </c>
      <c r="X76" s="25">
        <v>0.71</v>
      </c>
      <c r="Y76" s="25">
        <v>0.61</v>
      </c>
      <c r="Z76" s="25">
        <v>0.6</v>
      </c>
      <c r="AA76" s="25">
        <v>0.59</v>
      </c>
      <c r="AB76" s="25">
        <v>0.57999999999999996</v>
      </c>
      <c r="AC76" s="25">
        <v>0.56999999999999995</v>
      </c>
      <c r="AD76" s="26">
        <v>0.61</v>
      </c>
      <c r="AE76" s="26">
        <v>0.52</v>
      </c>
      <c r="AF76" s="26">
        <v>0.51</v>
      </c>
      <c r="AG76" s="26">
        <v>0.5</v>
      </c>
      <c r="AH76" s="26">
        <v>0.5</v>
      </c>
      <c r="AI76" s="26">
        <v>0.49</v>
      </c>
      <c r="AJ76" s="27">
        <v>17.57</v>
      </c>
      <c r="AK76" s="27">
        <v>15.66</v>
      </c>
      <c r="AL76" s="27">
        <v>15.42</v>
      </c>
      <c r="AM76" s="27">
        <v>15.18</v>
      </c>
      <c r="AN76" s="27">
        <v>14.95</v>
      </c>
      <c r="AO76" s="27">
        <v>14.71</v>
      </c>
      <c r="AP76" s="28">
        <v>2468.4</v>
      </c>
      <c r="AQ76" s="28">
        <v>2583.15</v>
      </c>
      <c r="AR76" s="28">
        <v>2560.1999999999998</v>
      </c>
      <c r="AS76" s="28">
        <v>2583.15</v>
      </c>
      <c r="AT76" s="28">
        <v>2565.3000000000002</v>
      </c>
      <c r="AU76" s="28">
        <v>2575.5</v>
      </c>
      <c r="AV76" s="29">
        <v>2904</v>
      </c>
      <c r="AW76" s="29">
        <v>3039</v>
      </c>
      <c r="AX76" s="29">
        <v>3012</v>
      </c>
      <c r="AY76" s="29">
        <v>3039</v>
      </c>
      <c r="AZ76" s="29">
        <v>3018</v>
      </c>
      <c r="BA76" s="29">
        <v>3030</v>
      </c>
      <c r="BB76" s="30">
        <v>911147</v>
      </c>
      <c r="BC76" s="30">
        <v>824563</v>
      </c>
      <c r="BD76" s="30">
        <v>824563</v>
      </c>
      <c r="BE76" s="30">
        <v>824563</v>
      </c>
      <c r="BF76" s="30">
        <v>824563</v>
      </c>
      <c r="BG76" s="30">
        <v>824563</v>
      </c>
    </row>
    <row r="77" spans="1:59" ht="15.75" thickBot="1" x14ac:dyDescent="0.3">
      <c r="A77" s="19" t="s">
        <v>644</v>
      </c>
      <c r="B77" s="19" t="s">
        <v>564</v>
      </c>
      <c r="C77" s="20">
        <v>1</v>
      </c>
      <c r="D77" s="20">
        <v>1</v>
      </c>
      <c r="E77" s="20">
        <v>1</v>
      </c>
      <c r="F77" s="20">
        <v>1</v>
      </c>
      <c r="G77" s="20">
        <v>1</v>
      </c>
      <c r="H77" s="20">
        <v>1</v>
      </c>
      <c r="I77" s="21">
        <v>1</v>
      </c>
      <c r="J77" s="22">
        <v>2.56</v>
      </c>
      <c r="K77" s="22">
        <v>2.67</v>
      </c>
      <c r="L77" s="22">
        <v>3.02</v>
      </c>
      <c r="M77" s="22">
        <v>3.33</v>
      </c>
      <c r="N77" s="22">
        <v>3.67</v>
      </c>
      <c r="O77" s="22">
        <v>3.82</v>
      </c>
      <c r="P77" s="23">
        <v>85</v>
      </c>
      <c r="Q77" s="23">
        <v>0</v>
      </c>
      <c r="R77" s="24">
        <v>85</v>
      </c>
      <c r="S77" s="24">
        <v>85</v>
      </c>
      <c r="T77" s="24">
        <v>85</v>
      </c>
      <c r="U77" s="24">
        <v>85</v>
      </c>
      <c r="V77" s="24">
        <v>85</v>
      </c>
      <c r="W77" s="24">
        <v>85</v>
      </c>
      <c r="X77" s="25">
        <v>0.05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6">
        <v>0.04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7">
        <v>1.17</v>
      </c>
      <c r="AK77" s="27">
        <v>0</v>
      </c>
      <c r="AL77" s="27">
        <v>0</v>
      </c>
      <c r="AM77" s="27">
        <v>0</v>
      </c>
      <c r="AN77" s="27">
        <v>0</v>
      </c>
      <c r="AO77" s="27">
        <v>0</v>
      </c>
      <c r="AP77" s="28">
        <v>2468.4</v>
      </c>
      <c r="AQ77" s="28">
        <v>2583.15</v>
      </c>
      <c r="AR77" s="28">
        <v>2560.1999999999998</v>
      </c>
      <c r="AS77" s="28">
        <v>2583.15</v>
      </c>
      <c r="AT77" s="28">
        <v>2565.3000000000002</v>
      </c>
      <c r="AU77" s="28">
        <v>2575.5</v>
      </c>
      <c r="AV77" s="29">
        <v>2904</v>
      </c>
      <c r="AW77" s="29">
        <v>3039</v>
      </c>
      <c r="AX77" s="29">
        <v>3012</v>
      </c>
      <c r="AY77" s="29">
        <v>3039</v>
      </c>
      <c r="AZ77" s="29">
        <v>3018</v>
      </c>
      <c r="BA77" s="29">
        <v>3030</v>
      </c>
      <c r="BB77" s="30">
        <v>100000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</row>
    <row r="78" spans="1:59" ht="15.75" thickBot="1" x14ac:dyDescent="0.3">
      <c r="A78" s="19" t="s">
        <v>645</v>
      </c>
      <c r="B78" s="19" t="s">
        <v>565</v>
      </c>
      <c r="C78" s="20">
        <v>1</v>
      </c>
      <c r="D78" s="20">
        <v>1</v>
      </c>
      <c r="E78" s="20">
        <v>1</v>
      </c>
      <c r="F78" s="20">
        <v>1</v>
      </c>
      <c r="G78" s="20">
        <v>1</v>
      </c>
      <c r="H78" s="20">
        <v>1</v>
      </c>
      <c r="I78" s="21">
        <v>1</v>
      </c>
      <c r="J78" s="22">
        <v>2.56</v>
      </c>
      <c r="K78" s="22">
        <v>2.67</v>
      </c>
      <c r="L78" s="22">
        <v>3.02</v>
      </c>
      <c r="M78" s="22">
        <v>3.33</v>
      </c>
      <c r="N78" s="22">
        <v>3.67</v>
      </c>
      <c r="O78" s="22">
        <v>3.82</v>
      </c>
      <c r="P78" s="23">
        <v>85</v>
      </c>
      <c r="Q78" s="23">
        <v>0</v>
      </c>
      <c r="R78" s="24">
        <v>85</v>
      </c>
      <c r="S78" s="24">
        <v>85</v>
      </c>
      <c r="T78" s="24">
        <v>85</v>
      </c>
      <c r="U78" s="24">
        <v>85</v>
      </c>
      <c r="V78" s="24">
        <v>85</v>
      </c>
      <c r="W78" s="24">
        <v>85</v>
      </c>
      <c r="X78" s="25">
        <v>1.06</v>
      </c>
      <c r="Y78" s="25">
        <v>0.76</v>
      </c>
      <c r="Z78" s="25">
        <v>0.75</v>
      </c>
      <c r="AA78" s="25">
        <v>0.74</v>
      </c>
      <c r="AB78" s="25">
        <v>0.73</v>
      </c>
      <c r="AC78" s="25">
        <v>0.72</v>
      </c>
      <c r="AD78" s="26">
        <v>0.9</v>
      </c>
      <c r="AE78" s="26">
        <v>0.65</v>
      </c>
      <c r="AF78" s="26">
        <v>0.64</v>
      </c>
      <c r="AG78" s="26">
        <v>0.63</v>
      </c>
      <c r="AH78" s="26">
        <v>0.62</v>
      </c>
      <c r="AI78" s="26">
        <v>0.61</v>
      </c>
      <c r="AJ78" s="27">
        <v>26.23</v>
      </c>
      <c r="AK78" s="27">
        <v>19.62</v>
      </c>
      <c r="AL78" s="27">
        <v>19.32</v>
      </c>
      <c r="AM78" s="27">
        <v>19.02</v>
      </c>
      <c r="AN78" s="27">
        <v>18.72</v>
      </c>
      <c r="AO78" s="27">
        <v>18.420000000000002</v>
      </c>
      <c r="AP78" s="28">
        <v>2468.4</v>
      </c>
      <c r="AQ78" s="28">
        <v>2583.15</v>
      </c>
      <c r="AR78" s="28">
        <v>2560.1999999999998</v>
      </c>
      <c r="AS78" s="28">
        <v>2583.15</v>
      </c>
      <c r="AT78" s="28">
        <v>2565.3000000000002</v>
      </c>
      <c r="AU78" s="28">
        <v>2575.5</v>
      </c>
      <c r="AV78" s="29">
        <v>2904</v>
      </c>
      <c r="AW78" s="29">
        <v>3039</v>
      </c>
      <c r="AX78" s="29">
        <v>3012</v>
      </c>
      <c r="AY78" s="29">
        <v>3039</v>
      </c>
      <c r="AZ78" s="29">
        <v>3018</v>
      </c>
      <c r="BA78" s="29">
        <v>3030</v>
      </c>
      <c r="BB78" s="30">
        <v>1031396</v>
      </c>
      <c r="BC78" s="30">
        <v>783170</v>
      </c>
      <c r="BD78" s="30">
        <v>783170</v>
      </c>
      <c r="BE78" s="30">
        <v>783170</v>
      </c>
      <c r="BF78" s="30">
        <v>783170</v>
      </c>
      <c r="BG78" s="30">
        <v>783170</v>
      </c>
    </row>
    <row r="79" spans="1:59" ht="15.75" thickBot="1" x14ac:dyDescent="0.3">
      <c r="A79" s="19" t="s">
        <v>646</v>
      </c>
      <c r="B79" s="19" t="s">
        <v>647</v>
      </c>
      <c r="C79" s="20">
        <v>1</v>
      </c>
      <c r="D79" s="20">
        <v>1</v>
      </c>
      <c r="E79" s="20">
        <v>1</v>
      </c>
      <c r="F79" s="20">
        <v>1</v>
      </c>
      <c r="G79" s="20">
        <v>1</v>
      </c>
      <c r="H79" s="20">
        <v>1</v>
      </c>
      <c r="I79" s="21">
        <v>1</v>
      </c>
      <c r="J79" s="22">
        <v>2.56</v>
      </c>
      <c r="K79" s="22">
        <v>2.67</v>
      </c>
      <c r="L79" s="22">
        <v>3.02</v>
      </c>
      <c r="M79" s="22">
        <v>3.33</v>
      </c>
      <c r="N79" s="22">
        <v>3.67</v>
      </c>
      <c r="O79" s="22">
        <v>3.82</v>
      </c>
      <c r="P79" s="23">
        <v>85</v>
      </c>
      <c r="Q79" s="23">
        <v>0</v>
      </c>
      <c r="R79" s="24">
        <v>85</v>
      </c>
      <c r="S79" s="24">
        <v>85</v>
      </c>
      <c r="T79" s="24">
        <v>85</v>
      </c>
      <c r="U79" s="24">
        <v>85</v>
      </c>
      <c r="V79" s="24">
        <v>85</v>
      </c>
      <c r="W79" s="24">
        <v>85</v>
      </c>
      <c r="X79" s="25">
        <v>5.35</v>
      </c>
      <c r="Y79" s="25">
        <v>4.42</v>
      </c>
      <c r="Z79" s="25">
        <v>4.3899999999999997</v>
      </c>
      <c r="AA79" s="25">
        <v>4.28</v>
      </c>
      <c r="AB79" s="25">
        <v>4.24</v>
      </c>
      <c r="AC79" s="25">
        <v>4.16</v>
      </c>
      <c r="AD79" s="26">
        <v>4.55</v>
      </c>
      <c r="AE79" s="26">
        <v>3.75</v>
      </c>
      <c r="AF79" s="26">
        <v>3.73</v>
      </c>
      <c r="AG79" s="26">
        <v>3.64</v>
      </c>
      <c r="AH79" s="26">
        <v>3.61</v>
      </c>
      <c r="AI79" s="26">
        <v>3.54</v>
      </c>
      <c r="AJ79" s="27">
        <v>132.01</v>
      </c>
      <c r="AK79" s="27">
        <v>114.09</v>
      </c>
      <c r="AL79" s="27">
        <v>112.36</v>
      </c>
      <c r="AM79" s="27">
        <v>110.62</v>
      </c>
      <c r="AN79" s="27">
        <v>108.88</v>
      </c>
      <c r="AO79" s="27">
        <v>107.14</v>
      </c>
      <c r="AP79" s="28">
        <v>2468.4</v>
      </c>
      <c r="AQ79" s="28">
        <v>2583.15</v>
      </c>
      <c r="AR79" s="28">
        <v>2560.1999999999998</v>
      </c>
      <c r="AS79" s="28">
        <v>2583.15</v>
      </c>
      <c r="AT79" s="28">
        <v>2565.3000000000002</v>
      </c>
      <c r="AU79" s="28">
        <v>2575.5</v>
      </c>
      <c r="AV79" s="29">
        <v>2904</v>
      </c>
      <c r="AW79" s="29">
        <v>3039</v>
      </c>
      <c r="AX79" s="29">
        <v>3012</v>
      </c>
      <c r="AY79" s="29">
        <v>3039</v>
      </c>
      <c r="AZ79" s="29">
        <v>3018</v>
      </c>
      <c r="BA79" s="29">
        <v>3030</v>
      </c>
      <c r="BB79" s="30">
        <v>499014</v>
      </c>
      <c r="BC79" s="30">
        <v>437844</v>
      </c>
      <c r="BD79" s="30">
        <v>437844</v>
      </c>
      <c r="BE79" s="30">
        <v>437844</v>
      </c>
      <c r="BF79" s="30">
        <v>437844</v>
      </c>
      <c r="BG79" s="30">
        <v>437844</v>
      </c>
    </row>
    <row r="80" spans="1:59" ht="15.75" thickBot="1" x14ac:dyDescent="0.3">
      <c r="A80" s="19" t="s">
        <v>648</v>
      </c>
      <c r="B80" s="19" t="s">
        <v>566</v>
      </c>
      <c r="C80" s="20">
        <v>1</v>
      </c>
      <c r="D80" s="20">
        <v>1</v>
      </c>
      <c r="E80" s="20">
        <v>1</v>
      </c>
      <c r="F80" s="20">
        <v>1</v>
      </c>
      <c r="G80" s="20">
        <v>1</v>
      </c>
      <c r="H80" s="20">
        <v>1</v>
      </c>
      <c r="I80" s="21">
        <v>1</v>
      </c>
      <c r="J80" s="22">
        <v>2.56</v>
      </c>
      <c r="K80" s="22">
        <v>2.67</v>
      </c>
      <c r="L80" s="22">
        <v>3.02</v>
      </c>
      <c r="M80" s="22">
        <v>3.33</v>
      </c>
      <c r="N80" s="22">
        <v>3.67</v>
      </c>
      <c r="O80" s="22">
        <v>3.82</v>
      </c>
      <c r="P80" s="23">
        <v>85</v>
      </c>
      <c r="Q80" s="23">
        <v>0</v>
      </c>
      <c r="R80" s="24">
        <v>85</v>
      </c>
      <c r="S80" s="24">
        <v>85</v>
      </c>
      <c r="T80" s="24">
        <v>85</v>
      </c>
      <c r="U80" s="24">
        <v>85</v>
      </c>
      <c r="V80" s="24">
        <v>85</v>
      </c>
      <c r="W80" s="24">
        <v>85</v>
      </c>
      <c r="X80" s="25">
        <v>5.28</v>
      </c>
      <c r="Y80" s="25">
        <v>4.26</v>
      </c>
      <c r="Z80" s="25">
        <v>4.2300000000000004</v>
      </c>
      <c r="AA80" s="25">
        <v>4.13</v>
      </c>
      <c r="AB80" s="25">
        <v>4.09</v>
      </c>
      <c r="AC80" s="25">
        <v>4.01</v>
      </c>
      <c r="AD80" s="26">
        <v>4.49</v>
      </c>
      <c r="AE80" s="26">
        <v>3.62</v>
      </c>
      <c r="AF80" s="26">
        <v>3.6</v>
      </c>
      <c r="AG80" s="26">
        <v>3.51</v>
      </c>
      <c r="AH80" s="26">
        <v>3.48</v>
      </c>
      <c r="AI80" s="26">
        <v>3.41</v>
      </c>
      <c r="AJ80" s="27">
        <v>130.38</v>
      </c>
      <c r="AK80" s="27">
        <v>110.07</v>
      </c>
      <c r="AL80" s="27">
        <v>108.39</v>
      </c>
      <c r="AM80" s="27">
        <v>106.72</v>
      </c>
      <c r="AN80" s="27">
        <v>105.04</v>
      </c>
      <c r="AO80" s="27">
        <v>103.37</v>
      </c>
      <c r="AP80" s="28">
        <v>2468.4</v>
      </c>
      <c r="AQ80" s="28">
        <v>2583.15</v>
      </c>
      <c r="AR80" s="28">
        <v>2560.1999999999998</v>
      </c>
      <c r="AS80" s="28">
        <v>2583.15</v>
      </c>
      <c r="AT80" s="28">
        <v>2565.3000000000002</v>
      </c>
      <c r="AU80" s="28">
        <v>2575.5</v>
      </c>
      <c r="AV80" s="29">
        <v>2904</v>
      </c>
      <c r="AW80" s="29">
        <v>3039</v>
      </c>
      <c r="AX80" s="29">
        <v>3012</v>
      </c>
      <c r="AY80" s="29">
        <v>3039</v>
      </c>
      <c r="AZ80" s="29">
        <v>3018</v>
      </c>
      <c r="BA80" s="29">
        <v>3030</v>
      </c>
      <c r="BB80" s="30">
        <v>492852</v>
      </c>
      <c r="BC80" s="30">
        <v>422401</v>
      </c>
      <c r="BD80" s="30">
        <v>422401</v>
      </c>
      <c r="BE80" s="30">
        <v>422401</v>
      </c>
      <c r="BF80" s="30">
        <v>422401</v>
      </c>
      <c r="BG80" s="30">
        <v>422401</v>
      </c>
    </row>
    <row r="81" spans="1:59" ht="15.75" thickBot="1" x14ac:dyDescent="0.3">
      <c r="A81" s="19" t="s">
        <v>649</v>
      </c>
      <c r="B81" s="19" t="s">
        <v>567</v>
      </c>
      <c r="C81" s="20">
        <v>1</v>
      </c>
      <c r="D81" s="20">
        <v>1</v>
      </c>
      <c r="E81" s="20">
        <v>1</v>
      </c>
      <c r="F81" s="20">
        <v>1</v>
      </c>
      <c r="G81" s="20">
        <v>1</v>
      </c>
      <c r="H81" s="20">
        <v>1</v>
      </c>
      <c r="I81" s="21">
        <v>1</v>
      </c>
      <c r="J81" s="22">
        <v>2.56</v>
      </c>
      <c r="K81" s="22">
        <v>2.67</v>
      </c>
      <c r="L81" s="22">
        <v>3.02</v>
      </c>
      <c r="M81" s="22">
        <v>3.33</v>
      </c>
      <c r="N81" s="22">
        <v>3.67</v>
      </c>
      <c r="O81" s="22">
        <v>3.82</v>
      </c>
      <c r="P81" s="23">
        <v>85</v>
      </c>
      <c r="Q81" s="23">
        <v>0</v>
      </c>
      <c r="R81" s="24">
        <v>85</v>
      </c>
      <c r="S81" s="24">
        <v>85</v>
      </c>
      <c r="T81" s="24">
        <v>85</v>
      </c>
      <c r="U81" s="24">
        <v>85</v>
      </c>
      <c r="V81" s="24">
        <v>85</v>
      </c>
      <c r="W81" s="24">
        <v>85</v>
      </c>
      <c r="X81" s="25">
        <v>0</v>
      </c>
      <c r="Y81" s="25">
        <v>0.12</v>
      </c>
      <c r="Z81" s="25">
        <v>0.12</v>
      </c>
      <c r="AA81" s="25">
        <v>0.12</v>
      </c>
      <c r="AB81" s="25">
        <v>0.12</v>
      </c>
      <c r="AC81" s="25">
        <v>0.12</v>
      </c>
      <c r="AD81" s="26">
        <v>0</v>
      </c>
      <c r="AE81" s="26">
        <v>0.11</v>
      </c>
      <c r="AF81" s="26">
        <v>0.11</v>
      </c>
      <c r="AG81" s="26">
        <v>0.1</v>
      </c>
      <c r="AH81" s="26">
        <v>0.1</v>
      </c>
      <c r="AI81" s="26">
        <v>0.1</v>
      </c>
      <c r="AJ81" s="27">
        <v>0</v>
      </c>
      <c r="AK81" s="27">
        <v>3.22</v>
      </c>
      <c r="AL81" s="27">
        <v>3.17</v>
      </c>
      <c r="AM81" s="27">
        <v>3.12</v>
      </c>
      <c r="AN81" s="27">
        <v>3.07</v>
      </c>
      <c r="AO81" s="27">
        <v>3.03</v>
      </c>
      <c r="AP81" s="28">
        <v>2468.4</v>
      </c>
      <c r="AQ81" s="28">
        <v>2583.15</v>
      </c>
      <c r="AR81" s="28">
        <v>2560.1999999999998</v>
      </c>
      <c r="AS81" s="28">
        <v>2583.15</v>
      </c>
      <c r="AT81" s="28">
        <v>2565.3000000000002</v>
      </c>
      <c r="AU81" s="28">
        <v>2575.5</v>
      </c>
      <c r="AV81" s="29">
        <v>2904</v>
      </c>
      <c r="AW81" s="29">
        <v>3039</v>
      </c>
      <c r="AX81" s="29">
        <v>3012</v>
      </c>
      <c r="AY81" s="29">
        <v>3039</v>
      </c>
      <c r="AZ81" s="29">
        <v>3018</v>
      </c>
      <c r="BA81" s="29">
        <v>3030</v>
      </c>
      <c r="BB81" s="30">
        <v>0</v>
      </c>
      <c r="BC81" s="30">
        <v>23654</v>
      </c>
      <c r="BD81" s="30">
        <v>23654</v>
      </c>
      <c r="BE81" s="30">
        <v>23654</v>
      </c>
      <c r="BF81" s="30">
        <v>23654</v>
      </c>
      <c r="BG81" s="30">
        <v>23654</v>
      </c>
    </row>
    <row r="82" spans="1:59" ht="15.75" thickBot="1" x14ac:dyDescent="0.3">
      <c r="A82" s="19" t="s">
        <v>650</v>
      </c>
      <c r="B82" s="19" t="s">
        <v>568</v>
      </c>
      <c r="C82" s="20">
        <v>1</v>
      </c>
      <c r="D82" s="20">
        <v>1</v>
      </c>
      <c r="E82" s="20">
        <v>1</v>
      </c>
      <c r="F82" s="20">
        <v>1</v>
      </c>
      <c r="G82" s="20">
        <v>1</v>
      </c>
      <c r="H82" s="20">
        <v>1</v>
      </c>
      <c r="I82" s="21">
        <v>1</v>
      </c>
      <c r="J82" s="22">
        <v>2.56</v>
      </c>
      <c r="K82" s="22">
        <v>2.67</v>
      </c>
      <c r="L82" s="22">
        <v>3.02</v>
      </c>
      <c r="M82" s="22">
        <v>3.33</v>
      </c>
      <c r="N82" s="22">
        <v>3.67</v>
      </c>
      <c r="O82" s="22">
        <v>3.82</v>
      </c>
      <c r="P82" s="23">
        <v>85</v>
      </c>
      <c r="Q82" s="23">
        <v>0</v>
      </c>
      <c r="R82" s="24">
        <v>85</v>
      </c>
      <c r="S82" s="24">
        <v>85</v>
      </c>
      <c r="T82" s="24">
        <v>85</v>
      </c>
      <c r="U82" s="24">
        <v>85</v>
      </c>
      <c r="V82" s="24">
        <v>85</v>
      </c>
      <c r="W82" s="24">
        <v>85</v>
      </c>
      <c r="X82" s="25">
        <v>1.96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6">
        <v>1.67</v>
      </c>
      <c r="AE82" s="26">
        <v>0</v>
      </c>
      <c r="AF82" s="26">
        <v>0</v>
      </c>
      <c r="AG82" s="26">
        <v>0</v>
      </c>
      <c r="AH82" s="26">
        <v>0</v>
      </c>
      <c r="AI82" s="26">
        <v>0</v>
      </c>
      <c r="AJ82" s="27">
        <v>48.39</v>
      </c>
      <c r="AK82" s="27">
        <v>0</v>
      </c>
      <c r="AL82" s="27">
        <v>0</v>
      </c>
      <c r="AM82" s="27">
        <v>0</v>
      </c>
      <c r="AN82" s="27">
        <v>0</v>
      </c>
      <c r="AO82" s="27">
        <v>0</v>
      </c>
      <c r="AP82" s="28">
        <v>2468.4</v>
      </c>
      <c r="AQ82" s="28">
        <v>2583.15</v>
      </c>
      <c r="AR82" s="28">
        <v>2560.1999999999998</v>
      </c>
      <c r="AS82" s="28">
        <v>2583.15</v>
      </c>
      <c r="AT82" s="28">
        <v>2565.3000000000002</v>
      </c>
      <c r="AU82" s="28">
        <v>2575.5</v>
      </c>
      <c r="AV82" s="29">
        <v>2904</v>
      </c>
      <c r="AW82" s="29">
        <v>3039</v>
      </c>
      <c r="AX82" s="29">
        <v>3012</v>
      </c>
      <c r="AY82" s="29">
        <v>3039</v>
      </c>
      <c r="AZ82" s="29">
        <v>3018</v>
      </c>
      <c r="BA82" s="29">
        <v>3030</v>
      </c>
      <c r="BB82" s="30">
        <v>717931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</row>
    <row r="83" spans="1:59" ht="15.75" thickBot="1" x14ac:dyDescent="0.3">
      <c r="A83" s="19" t="s">
        <v>362</v>
      </c>
      <c r="B83" s="19" t="s">
        <v>326</v>
      </c>
      <c r="C83" s="20">
        <v>1</v>
      </c>
      <c r="D83" s="20">
        <v>1</v>
      </c>
      <c r="E83" s="20">
        <v>1</v>
      </c>
      <c r="F83" s="20">
        <v>1</v>
      </c>
      <c r="G83" s="20">
        <v>1</v>
      </c>
      <c r="H83" s="20">
        <v>1</v>
      </c>
      <c r="I83" s="21">
        <v>1</v>
      </c>
      <c r="J83" s="22">
        <v>2.56</v>
      </c>
      <c r="K83" s="22">
        <v>2.67</v>
      </c>
      <c r="L83" s="22">
        <v>3.02</v>
      </c>
      <c r="M83" s="22">
        <v>3.33</v>
      </c>
      <c r="N83" s="22">
        <v>3.67</v>
      </c>
      <c r="O83" s="22">
        <v>3.82</v>
      </c>
      <c r="P83" s="23">
        <v>85</v>
      </c>
      <c r="Q83" s="23">
        <v>0</v>
      </c>
      <c r="R83" s="24">
        <v>85</v>
      </c>
      <c r="S83" s="24">
        <v>85</v>
      </c>
      <c r="T83" s="24">
        <v>85</v>
      </c>
      <c r="U83" s="24">
        <v>85</v>
      </c>
      <c r="V83" s="24">
        <v>85</v>
      </c>
      <c r="W83" s="24">
        <v>85</v>
      </c>
      <c r="X83" s="25">
        <v>18.43</v>
      </c>
      <c r="Y83" s="25">
        <v>14.3</v>
      </c>
      <c r="Z83" s="25">
        <v>14.21</v>
      </c>
      <c r="AA83" s="25">
        <v>13.86</v>
      </c>
      <c r="AB83" s="25">
        <v>13.74</v>
      </c>
      <c r="AC83" s="25">
        <v>13.47</v>
      </c>
      <c r="AD83" s="26">
        <v>15.66</v>
      </c>
      <c r="AE83" s="26">
        <v>12.15</v>
      </c>
      <c r="AF83" s="26">
        <v>12.08</v>
      </c>
      <c r="AG83" s="26">
        <v>11.78</v>
      </c>
      <c r="AH83" s="26">
        <v>11.68</v>
      </c>
      <c r="AI83" s="26">
        <v>11.45</v>
      </c>
      <c r="AJ83" s="27">
        <v>454.85</v>
      </c>
      <c r="AK83" s="27">
        <v>369.38</v>
      </c>
      <c r="AL83" s="27">
        <v>363.75</v>
      </c>
      <c r="AM83" s="27">
        <v>358.13</v>
      </c>
      <c r="AN83" s="27">
        <v>352.5</v>
      </c>
      <c r="AO83" s="27">
        <v>346.88</v>
      </c>
      <c r="AP83" s="28">
        <v>2468.4</v>
      </c>
      <c r="AQ83" s="28">
        <v>2583.15</v>
      </c>
      <c r="AR83" s="28">
        <v>2560.1999999999998</v>
      </c>
      <c r="AS83" s="28">
        <v>2583.15</v>
      </c>
      <c r="AT83" s="28">
        <v>2565.3000000000002</v>
      </c>
      <c r="AU83" s="28">
        <v>2575.5</v>
      </c>
      <c r="AV83" s="29">
        <v>2904</v>
      </c>
      <c r="AW83" s="29">
        <v>3039</v>
      </c>
      <c r="AX83" s="29">
        <v>3012</v>
      </c>
      <c r="AY83" s="29">
        <v>3039</v>
      </c>
      <c r="AZ83" s="29">
        <v>3018</v>
      </c>
      <c r="BA83" s="29">
        <v>3030</v>
      </c>
      <c r="BB83" s="30">
        <v>545820</v>
      </c>
      <c r="BC83" s="30">
        <v>450000</v>
      </c>
      <c r="BD83" s="30">
        <v>450000</v>
      </c>
      <c r="BE83" s="30">
        <v>450000</v>
      </c>
      <c r="BF83" s="30">
        <v>450000</v>
      </c>
      <c r="BG83" s="30">
        <v>450000</v>
      </c>
    </row>
    <row r="84" spans="1:59" ht="15.75" thickBot="1" x14ac:dyDescent="0.3">
      <c r="A84" s="19" t="s">
        <v>303</v>
      </c>
      <c r="B84" s="19" t="s">
        <v>280</v>
      </c>
      <c r="C84" s="20">
        <v>1</v>
      </c>
      <c r="D84" s="20">
        <v>1</v>
      </c>
      <c r="E84" s="20">
        <v>1</v>
      </c>
      <c r="F84" s="20">
        <v>1</v>
      </c>
      <c r="G84" s="20">
        <v>1</v>
      </c>
      <c r="H84" s="20">
        <v>1</v>
      </c>
      <c r="I84" s="21">
        <v>1</v>
      </c>
      <c r="J84" s="22">
        <v>2.56</v>
      </c>
      <c r="K84" s="22">
        <v>2.67</v>
      </c>
      <c r="L84" s="22">
        <v>3.02</v>
      </c>
      <c r="M84" s="22">
        <v>3.33</v>
      </c>
      <c r="N84" s="22">
        <v>3.67</v>
      </c>
      <c r="O84" s="22">
        <v>3.82</v>
      </c>
      <c r="P84" s="23">
        <v>85</v>
      </c>
      <c r="Q84" s="23">
        <v>0</v>
      </c>
      <c r="R84" s="24">
        <v>85</v>
      </c>
      <c r="S84" s="24">
        <v>85</v>
      </c>
      <c r="T84" s="24">
        <v>85</v>
      </c>
      <c r="U84" s="24">
        <v>85</v>
      </c>
      <c r="V84" s="24">
        <v>85</v>
      </c>
      <c r="W84" s="24">
        <v>85</v>
      </c>
      <c r="X84" s="25">
        <v>28.03</v>
      </c>
      <c r="Y84" s="25">
        <v>21.75</v>
      </c>
      <c r="Z84" s="25">
        <v>21.61</v>
      </c>
      <c r="AA84" s="25">
        <v>21.09</v>
      </c>
      <c r="AB84" s="25">
        <v>20.9</v>
      </c>
      <c r="AC84" s="25">
        <v>20.48</v>
      </c>
      <c r="AD84" s="26">
        <v>23.82</v>
      </c>
      <c r="AE84" s="26">
        <v>18.489999999999998</v>
      </c>
      <c r="AF84" s="26">
        <v>18.37</v>
      </c>
      <c r="AG84" s="26">
        <v>17.920000000000002</v>
      </c>
      <c r="AH84" s="26">
        <v>17.760000000000002</v>
      </c>
      <c r="AI84" s="26">
        <v>17.41</v>
      </c>
      <c r="AJ84" s="27">
        <v>691.79</v>
      </c>
      <c r="AK84" s="27">
        <v>561.79</v>
      </c>
      <c r="AL84" s="27">
        <v>553.23</v>
      </c>
      <c r="AM84" s="27">
        <v>544.67999999999995</v>
      </c>
      <c r="AN84" s="27">
        <v>536.12</v>
      </c>
      <c r="AO84" s="27">
        <v>527.57000000000005</v>
      </c>
      <c r="AP84" s="28">
        <v>2468.4</v>
      </c>
      <c r="AQ84" s="28">
        <v>2583.15</v>
      </c>
      <c r="AR84" s="28">
        <v>2560.1999999999998</v>
      </c>
      <c r="AS84" s="28">
        <v>2583.15</v>
      </c>
      <c r="AT84" s="28">
        <v>2565.3000000000002</v>
      </c>
      <c r="AU84" s="28">
        <v>2575.5</v>
      </c>
      <c r="AV84" s="29">
        <v>2904</v>
      </c>
      <c r="AW84" s="29">
        <v>3039</v>
      </c>
      <c r="AX84" s="29">
        <v>3012</v>
      </c>
      <c r="AY84" s="29">
        <v>3039</v>
      </c>
      <c r="AZ84" s="29">
        <v>3018</v>
      </c>
      <c r="BA84" s="29">
        <v>3030</v>
      </c>
      <c r="BB84" s="30">
        <v>545820</v>
      </c>
      <c r="BC84" s="30">
        <v>450000</v>
      </c>
      <c r="BD84" s="30">
        <v>450000</v>
      </c>
      <c r="BE84" s="30">
        <v>450000</v>
      </c>
      <c r="BF84" s="30">
        <v>450000</v>
      </c>
      <c r="BG84" s="30">
        <v>450000</v>
      </c>
    </row>
    <row r="85" spans="1:59" ht="15.75" thickBot="1" x14ac:dyDescent="0.3">
      <c r="A85" s="19" t="s">
        <v>651</v>
      </c>
      <c r="B85" s="19" t="s">
        <v>569</v>
      </c>
      <c r="C85" s="20">
        <v>1</v>
      </c>
      <c r="D85" s="20">
        <v>1</v>
      </c>
      <c r="E85" s="20">
        <v>1</v>
      </c>
      <c r="F85" s="20">
        <v>1</v>
      </c>
      <c r="G85" s="20">
        <v>1</v>
      </c>
      <c r="H85" s="20">
        <v>1</v>
      </c>
      <c r="I85" s="21">
        <v>1</v>
      </c>
      <c r="J85" s="22">
        <v>2.56</v>
      </c>
      <c r="K85" s="22">
        <v>2.67</v>
      </c>
      <c r="L85" s="22">
        <v>3.02</v>
      </c>
      <c r="M85" s="22">
        <v>3.33</v>
      </c>
      <c r="N85" s="22">
        <v>3.67</v>
      </c>
      <c r="O85" s="22">
        <v>3.82</v>
      </c>
      <c r="P85" s="23">
        <v>85</v>
      </c>
      <c r="Q85" s="23">
        <v>0</v>
      </c>
      <c r="R85" s="24">
        <v>85</v>
      </c>
      <c r="S85" s="24">
        <v>85</v>
      </c>
      <c r="T85" s="24">
        <v>85</v>
      </c>
      <c r="U85" s="24">
        <v>85</v>
      </c>
      <c r="V85" s="24">
        <v>85</v>
      </c>
      <c r="W85" s="24">
        <v>85</v>
      </c>
      <c r="X85" s="25">
        <v>11.64</v>
      </c>
      <c r="Y85" s="25">
        <v>17.25</v>
      </c>
      <c r="Z85" s="25">
        <v>17.13</v>
      </c>
      <c r="AA85" s="25">
        <v>16.72</v>
      </c>
      <c r="AB85" s="25">
        <v>16.57</v>
      </c>
      <c r="AC85" s="25">
        <v>16.239999999999998</v>
      </c>
      <c r="AD85" s="26">
        <v>9.89</v>
      </c>
      <c r="AE85" s="26">
        <v>14.66</v>
      </c>
      <c r="AF85" s="26">
        <v>14.56</v>
      </c>
      <c r="AG85" s="26">
        <v>14.21</v>
      </c>
      <c r="AH85" s="26">
        <v>14.09</v>
      </c>
      <c r="AI85" s="26">
        <v>13.81</v>
      </c>
      <c r="AJ85" s="27">
        <v>287.35000000000002</v>
      </c>
      <c r="AK85" s="27">
        <v>445.48</v>
      </c>
      <c r="AL85" s="27">
        <v>438.69</v>
      </c>
      <c r="AM85" s="27">
        <v>431.91</v>
      </c>
      <c r="AN85" s="27">
        <v>425.13</v>
      </c>
      <c r="AO85" s="27">
        <v>418.34</v>
      </c>
      <c r="AP85" s="28">
        <v>2468.4</v>
      </c>
      <c r="AQ85" s="28">
        <v>2583.15</v>
      </c>
      <c r="AR85" s="28">
        <v>2560.1999999999998</v>
      </c>
      <c r="AS85" s="28">
        <v>2583.15</v>
      </c>
      <c r="AT85" s="28">
        <v>2565.3000000000002</v>
      </c>
      <c r="AU85" s="28">
        <v>2575.5</v>
      </c>
      <c r="AV85" s="29">
        <v>2904</v>
      </c>
      <c r="AW85" s="29">
        <v>3039</v>
      </c>
      <c r="AX85" s="29">
        <v>3012</v>
      </c>
      <c r="AY85" s="29">
        <v>3039</v>
      </c>
      <c r="AZ85" s="29">
        <v>3018</v>
      </c>
      <c r="BA85" s="29">
        <v>3030</v>
      </c>
      <c r="BB85" s="30">
        <v>321840</v>
      </c>
      <c r="BC85" s="30">
        <v>506538</v>
      </c>
      <c r="BD85" s="30">
        <v>506538</v>
      </c>
      <c r="BE85" s="30">
        <v>506538</v>
      </c>
      <c r="BF85" s="30">
        <v>506538</v>
      </c>
      <c r="BG85" s="30">
        <v>506538</v>
      </c>
    </row>
    <row r="86" spans="1:59" ht="15.75" thickBot="1" x14ac:dyDescent="0.3">
      <c r="A86" s="19" t="s">
        <v>306</v>
      </c>
      <c r="B86" s="19" t="s">
        <v>307</v>
      </c>
      <c r="C86" s="20">
        <v>1</v>
      </c>
      <c r="D86" s="20">
        <v>1</v>
      </c>
      <c r="E86" s="20">
        <v>1</v>
      </c>
      <c r="F86" s="20">
        <v>1</v>
      </c>
      <c r="G86" s="20">
        <v>1</v>
      </c>
      <c r="H86" s="20">
        <v>1</v>
      </c>
      <c r="I86" s="21">
        <v>1</v>
      </c>
      <c r="J86" s="22">
        <v>2.56</v>
      </c>
      <c r="K86" s="22">
        <v>2.67</v>
      </c>
      <c r="L86" s="22">
        <v>3.02</v>
      </c>
      <c r="M86" s="22">
        <v>3.33</v>
      </c>
      <c r="N86" s="22">
        <v>3.67</v>
      </c>
      <c r="O86" s="22">
        <v>3.82</v>
      </c>
      <c r="P86" s="23">
        <v>85</v>
      </c>
      <c r="Q86" s="23">
        <v>0</v>
      </c>
      <c r="R86" s="24">
        <v>85</v>
      </c>
      <c r="S86" s="24">
        <v>85</v>
      </c>
      <c r="T86" s="24">
        <v>85</v>
      </c>
      <c r="U86" s="24">
        <v>85</v>
      </c>
      <c r="V86" s="24">
        <v>85</v>
      </c>
      <c r="W86" s="24">
        <v>85</v>
      </c>
      <c r="X86" s="25">
        <v>21.16</v>
      </c>
      <c r="Y86" s="25">
        <v>23.83</v>
      </c>
      <c r="Z86" s="25">
        <v>23.68</v>
      </c>
      <c r="AA86" s="25">
        <v>23.11</v>
      </c>
      <c r="AB86" s="25">
        <v>22.9</v>
      </c>
      <c r="AC86" s="25">
        <v>22.45</v>
      </c>
      <c r="AD86" s="26">
        <v>17.989999999999998</v>
      </c>
      <c r="AE86" s="26">
        <v>20.260000000000002</v>
      </c>
      <c r="AF86" s="26">
        <v>20.13</v>
      </c>
      <c r="AG86" s="26">
        <v>19.64</v>
      </c>
      <c r="AH86" s="26">
        <v>19.47</v>
      </c>
      <c r="AI86" s="26">
        <v>19.079999999999998</v>
      </c>
      <c r="AJ86" s="27">
        <v>522.35</v>
      </c>
      <c r="AK86" s="27">
        <v>615.62</v>
      </c>
      <c r="AL86" s="27">
        <v>606.25</v>
      </c>
      <c r="AM86" s="27">
        <v>596.87</v>
      </c>
      <c r="AN86" s="27">
        <v>587.5</v>
      </c>
      <c r="AO86" s="27">
        <v>578.12</v>
      </c>
      <c r="AP86" s="28">
        <v>2468.4</v>
      </c>
      <c r="AQ86" s="28">
        <v>2583.15</v>
      </c>
      <c r="AR86" s="28">
        <v>2560.1999999999998</v>
      </c>
      <c r="AS86" s="28">
        <v>2583.15</v>
      </c>
      <c r="AT86" s="28">
        <v>2565.3000000000002</v>
      </c>
      <c r="AU86" s="28">
        <v>2575.5</v>
      </c>
      <c r="AV86" s="29">
        <v>2904</v>
      </c>
      <c r="AW86" s="29">
        <v>3039</v>
      </c>
      <c r="AX86" s="29">
        <v>3012</v>
      </c>
      <c r="AY86" s="29">
        <v>3039</v>
      </c>
      <c r="AZ86" s="29">
        <v>3018</v>
      </c>
      <c r="BA86" s="29">
        <v>3030</v>
      </c>
      <c r="BB86" s="30">
        <v>222000</v>
      </c>
      <c r="BC86" s="30">
        <v>265625</v>
      </c>
      <c r="BD86" s="30">
        <v>265625</v>
      </c>
      <c r="BE86" s="30">
        <v>265625</v>
      </c>
      <c r="BF86" s="30">
        <v>265625</v>
      </c>
      <c r="BG86" s="30">
        <v>265625</v>
      </c>
    </row>
    <row r="87" spans="1:59" ht="15.75" thickBot="1" x14ac:dyDescent="0.3">
      <c r="A87" s="19" t="s">
        <v>652</v>
      </c>
      <c r="B87" s="19" t="s">
        <v>570</v>
      </c>
      <c r="C87" s="20">
        <v>1</v>
      </c>
      <c r="D87" s="20">
        <v>1</v>
      </c>
      <c r="E87" s="20">
        <v>1</v>
      </c>
      <c r="F87" s="20">
        <v>1</v>
      </c>
      <c r="G87" s="20">
        <v>1</v>
      </c>
      <c r="H87" s="20">
        <v>1</v>
      </c>
      <c r="I87" s="21">
        <v>1</v>
      </c>
      <c r="J87" s="22">
        <v>2.56</v>
      </c>
      <c r="K87" s="22">
        <v>2.67</v>
      </c>
      <c r="L87" s="22">
        <v>3.02</v>
      </c>
      <c r="M87" s="22">
        <v>3.33</v>
      </c>
      <c r="N87" s="22">
        <v>3.67</v>
      </c>
      <c r="O87" s="22">
        <v>3.82</v>
      </c>
      <c r="P87" s="23">
        <v>85</v>
      </c>
      <c r="Q87" s="23">
        <v>0</v>
      </c>
      <c r="R87" s="24">
        <v>85</v>
      </c>
      <c r="S87" s="24">
        <v>85</v>
      </c>
      <c r="T87" s="24">
        <v>85</v>
      </c>
      <c r="U87" s="24">
        <v>85</v>
      </c>
      <c r="V87" s="24">
        <v>85</v>
      </c>
      <c r="W87" s="24">
        <v>85</v>
      </c>
      <c r="X87" s="25">
        <v>0.74</v>
      </c>
      <c r="Y87" s="25">
        <v>1.41</v>
      </c>
      <c r="Z87" s="25">
        <v>1.4</v>
      </c>
      <c r="AA87" s="25">
        <v>1.36</v>
      </c>
      <c r="AB87" s="25">
        <v>1.35</v>
      </c>
      <c r="AC87" s="25">
        <v>1.32</v>
      </c>
      <c r="AD87" s="26">
        <v>0.63</v>
      </c>
      <c r="AE87" s="26">
        <v>1.2</v>
      </c>
      <c r="AF87" s="26">
        <v>1.19</v>
      </c>
      <c r="AG87" s="26">
        <v>1.1599999999999999</v>
      </c>
      <c r="AH87" s="26">
        <v>1.1499999999999999</v>
      </c>
      <c r="AI87" s="26">
        <v>1.1299999999999999</v>
      </c>
      <c r="AJ87" s="27">
        <v>18.16</v>
      </c>
      <c r="AK87" s="27">
        <v>36.33</v>
      </c>
      <c r="AL87" s="27">
        <v>35.770000000000003</v>
      </c>
      <c r="AM87" s="27">
        <v>35.22</v>
      </c>
      <c r="AN87" s="27">
        <v>34.67</v>
      </c>
      <c r="AO87" s="27">
        <v>34.11</v>
      </c>
      <c r="AP87" s="28">
        <v>2468.4</v>
      </c>
      <c r="AQ87" s="28">
        <v>2583.15</v>
      </c>
      <c r="AR87" s="28">
        <v>2560.1999999999998</v>
      </c>
      <c r="AS87" s="28">
        <v>2583.15</v>
      </c>
      <c r="AT87" s="28">
        <v>2565.3000000000002</v>
      </c>
      <c r="AU87" s="28">
        <v>2575.5</v>
      </c>
      <c r="AV87" s="29">
        <v>2904</v>
      </c>
      <c r="AW87" s="29">
        <v>3039</v>
      </c>
      <c r="AX87" s="29">
        <v>3012</v>
      </c>
      <c r="AY87" s="29">
        <v>3039</v>
      </c>
      <c r="AZ87" s="29">
        <v>3018</v>
      </c>
      <c r="BA87" s="29">
        <v>3030</v>
      </c>
      <c r="BB87" s="30">
        <v>67116</v>
      </c>
      <c r="BC87" s="30">
        <v>136300</v>
      </c>
      <c r="BD87" s="30">
        <v>136300</v>
      </c>
      <c r="BE87" s="30">
        <v>136300</v>
      </c>
      <c r="BF87" s="30">
        <v>136300</v>
      </c>
      <c r="BG87" s="30">
        <v>136300</v>
      </c>
    </row>
    <row r="88" spans="1:59" ht="15.75" thickBot="1" x14ac:dyDescent="0.3">
      <c r="A88" s="19" t="s">
        <v>308</v>
      </c>
      <c r="B88" s="19" t="s">
        <v>281</v>
      </c>
      <c r="C88" s="20">
        <v>1</v>
      </c>
      <c r="D88" s="20">
        <v>1</v>
      </c>
      <c r="E88" s="20">
        <v>1</v>
      </c>
      <c r="F88" s="20">
        <v>1</v>
      </c>
      <c r="G88" s="20">
        <v>1</v>
      </c>
      <c r="H88" s="20">
        <v>1</v>
      </c>
      <c r="I88" s="21">
        <v>1</v>
      </c>
      <c r="J88" s="22">
        <v>2.56</v>
      </c>
      <c r="K88" s="22">
        <v>2.67</v>
      </c>
      <c r="L88" s="22">
        <v>3.02</v>
      </c>
      <c r="M88" s="22">
        <v>3.33</v>
      </c>
      <c r="N88" s="22">
        <v>3.67</v>
      </c>
      <c r="O88" s="22">
        <v>3.82</v>
      </c>
      <c r="P88" s="23">
        <v>85</v>
      </c>
      <c r="Q88" s="23">
        <v>0</v>
      </c>
      <c r="R88" s="24">
        <v>85</v>
      </c>
      <c r="S88" s="24">
        <v>85</v>
      </c>
      <c r="T88" s="24">
        <v>85</v>
      </c>
      <c r="U88" s="24">
        <v>85</v>
      </c>
      <c r="V88" s="24">
        <v>85</v>
      </c>
      <c r="W88" s="24">
        <v>85</v>
      </c>
      <c r="X88" s="25">
        <v>0</v>
      </c>
      <c r="Y88" s="25">
        <v>0</v>
      </c>
      <c r="Z88" s="25">
        <v>0</v>
      </c>
      <c r="AA88" s="25">
        <v>0</v>
      </c>
      <c r="AB88" s="25">
        <v>0</v>
      </c>
      <c r="AC88" s="25">
        <v>0</v>
      </c>
      <c r="AD88" s="26">
        <v>0</v>
      </c>
      <c r="AE88" s="26">
        <v>0</v>
      </c>
      <c r="AF88" s="26">
        <v>0</v>
      </c>
      <c r="AG88" s="26">
        <v>0</v>
      </c>
      <c r="AH88" s="26">
        <v>0</v>
      </c>
      <c r="AI88" s="26">
        <v>0</v>
      </c>
      <c r="AJ88" s="27">
        <v>0</v>
      </c>
      <c r="AK88" s="27">
        <v>0</v>
      </c>
      <c r="AL88" s="27">
        <v>0</v>
      </c>
      <c r="AM88" s="27">
        <v>0</v>
      </c>
      <c r="AN88" s="27">
        <v>0</v>
      </c>
      <c r="AO88" s="27">
        <v>0</v>
      </c>
      <c r="AP88" s="28">
        <v>2468.4</v>
      </c>
      <c r="AQ88" s="28">
        <v>2583.15</v>
      </c>
      <c r="AR88" s="28">
        <v>2560.1999999999998</v>
      </c>
      <c r="AS88" s="28">
        <v>2583.15</v>
      </c>
      <c r="AT88" s="28">
        <v>2565.3000000000002</v>
      </c>
      <c r="AU88" s="28">
        <v>2575.5</v>
      </c>
      <c r="AV88" s="29">
        <v>2904</v>
      </c>
      <c r="AW88" s="29">
        <v>3039</v>
      </c>
      <c r="AX88" s="29">
        <v>3012</v>
      </c>
      <c r="AY88" s="29">
        <v>3039</v>
      </c>
      <c r="AZ88" s="29">
        <v>3018</v>
      </c>
      <c r="BA88" s="29">
        <v>3030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</row>
    <row r="89" spans="1:59" ht="15.75" thickBot="1" x14ac:dyDescent="0.3">
      <c r="A89" s="19" t="s">
        <v>367</v>
      </c>
      <c r="B89" s="19" t="s">
        <v>327</v>
      </c>
      <c r="C89" s="20">
        <v>1</v>
      </c>
      <c r="D89" s="20">
        <v>1</v>
      </c>
      <c r="E89" s="20">
        <v>1</v>
      </c>
      <c r="F89" s="20">
        <v>1</v>
      </c>
      <c r="G89" s="20">
        <v>1</v>
      </c>
      <c r="H89" s="20">
        <v>1</v>
      </c>
      <c r="I89" s="21">
        <v>1</v>
      </c>
      <c r="J89" s="22">
        <v>2.56</v>
      </c>
      <c r="K89" s="22">
        <v>2.67</v>
      </c>
      <c r="L89" s="22">
        <v>3.02</v>
      </c>
      <c r="M89" s="22">
        <v>3.33</v>
      </c>
      <c r="N89" s="22">
        <v>3.67</v>
      </c>
      <c r="O89" s="22">
        <v>3.82</v>
      </c>
      <c r="P89" s="23">
        <v>85</v>
      </c>
      <c r="Q89" s="23">
        <v>0</v>
      </c>
      <c r="R89" s="24">
        <v>85</v>
      </c>
      <c r="S89" s="24">
        <v>85</v>
      </c>
      <c r="T89" s="24">
        <v>85</v>
      </c>
      <c r="U89" s="24">
        <v>85</v>
      </c>
      <c r="V89" s="24">
        <v>85</v>
      </c>
      <c r="W89" s="24">
        <v>85</v>
      </c>
      <c r="X89" s="25">
        <v>5.69</v>
      </c>
      <c r="Y89" s="25">
        <v>0.82</v>
      </c>
      <c r="Z89" s="25">
        <v>0.82</v>
      </c>
      <c r="AA89" s="25">
        <v>0.8</v>
      </c>
      <c r="AB89" s="25">
        <v>0.79</v>
      </c>
      <c r="AC89" s="25">
        <v>0.78</v>
      </c>
      <c r="AD89" s="26">
        <v>4.84</v>
      </c>
      <c r="AE89" s="26">
        <v>0.7</v>
      </c>
      <c r="AF89" s="26">
        <v>0.7</v>
      </c>
      <c r="AG89" s="26">
        <v>0.68</v>
      </c>
      <c r="AH89" s="26">
        <v>0.67</v>
      </c>
      <c r="AI89" s="26">
        <v>0.66</v>
      </c>
      <c r="AJ89" s="27">
        <v>140.47999999999999</v>
      </c>
      <c r="AK89" s="27">
        <v>21.31</v>
      </c>
      <c r="AL89" s="27">
        <v>20.98</v>
      </c>
      <c r="AM89" s="27">
        <v>20.66</v>
      </c>
      <c r="AN89" s="27">
        <v>20.329999999999998</v>
      </c>
      <c r="AO89" s="27">
        <v>20.010000000000002</v>
      </c>
      <c r="AP89" s="28">
        <v>2468.4</v>
      </c>
      <c r="AQ89" s="28">
        <v>2583.15</v>
      </c>
      <c r="AR89" s="28">
        <v>2560.1999999999998</v>
      </c>
      <c r="AS89" s="28">
        <v>2583.15</v>
      </c>
      <c r="AT89" s="28">
        <v>2565.3000000000002</v>
      </c>
      <c r="AU89" s="28">
        <v>2575.5</v>
      </c>
      <c r="AV89" s="29">
        <v>2904</v>
      </c>
      <c r="AW89" s="29">
        <v>3039</v>
      </c>
      <c r="AX89" s="29">
        <v>3012</v>
      </c>
      <c r="AY89" s="29">
        <v>3039</v>
      </c>
      <c r="AZ89" s="29">
        <v>3018</v>
      </c>
      <c r="BA89" s="29">
        <v>3030</v>
      </c>
      <c r="BB89" s="30">
        <v>295020</v>
      </c>
      <c r="BC89" s="30">
        <v>45425</v>
      </c>
      <c r="BD89" s="30">
        <v>45425</v>
      </c>
      <c r="BE89" s="30">
        <v>45425</v>
      </c>
      <c r="BF89" s="30">
        <v>45425</v>
      </c>
      <c r="BG89" s="30">
        <v>45425</v>
      </c>
    </row>
    <row r="90" spans="1:59" ht="15.75" thickBot="1" x14ac:dyDescent="0.3">
      <c r="A90" s="19" t="s">
        <v>653</v>
      </c>
      <c r="B90" s="19" t="s">
        <v>571</v>
      </c>
      <c r="C90" s="20">
        <v>1</v>
      </c>
      <c r="D90" s="20">
        <v>1</v>
      </c>
      <c r="E90" s="20">
        <v>1</v>
      </c>
      <c r="F90" s="20">
        <v>1</v>
      </c>
      <c r="G90" s="20">
        <v>1</v>
      </c>
      <c r="H90" s="20">
        <v>1</v>
      </c>
      <c r="I90" s="21">
        <v>1</v>
      </c>
      <c r="J90" s="22">
        <v>2.56</v>
      </c>
      <c r="K90" s="22">
        <v>2.67</v>
      </c>
      <c r="L90" s="22">
        <v>3.02</v>
      </c>
      <c r="M90" s="22">
        <v>3.33</v>
      </c>
      <c r="N90" s="22">
        <v>3.67</v>
      </c>
      <c r="O90" s="22">
        <v>3.82</v>
      </c>
      <c r="P90" s="23">
        <v>85</v>
      </c>
      <c r="Q90" s="23">
        <v>0</v>
      </c>
      <c r="R90" s="24">
        <v>85</v>
      </c>
      <c r="S90" s="24">
        <v>85</v>
      </c>
      <c r="T90" s="24">
        <v>85</v>
      </c>
      <c r="U90" s="24">
        <v>85</v>
      </c>
      <c r="V90" s="24">
        <v>85</v>
      </c>
      <c r="W90" s="24">
        <v>85</v>
      </c>
      <c r="X90" s="25">
        <v>3.12</v>
      </c>
      <c r="Y90" s="25">
        <v>2.54</v>
      </c>
      <c r="Z90" s="25">
        <v>2.52</v>
      </c>
      <c r="AA90" s="25">
        <v>2.46</v>
      </c>
      <c r="AB90" s="25">
        <v>2.44</v>
      </c>
      <c r="AC90" s="25">
        <v>2.39</v>
      </c>
      <c r="AD90" s="26">
        <v>2.65</v>
      </c>
      <c r="AE90" s="26">
        <v>2.16</v>
      </c>
      <c r="AF90" s="26">
        <v>2.14</v>
      </c>
      <c r="AG90" s="26">
        <v>2.09</v>
      </c>
      <c r="AH90" s="26">
        <v>2.0699999999999998</v>
      </c>
      <c r="AI90" s="26">
        <v>2.0299999999999998</v>
      </c>
      <c r="AJ90" s="27">
        <v>76.92</v>
      </c>
      <c r="AK90" s="27">
        <v>65.540000000000006</v>
      </c>
      <c r="AL90" s="27">
        <v>64.540000000000006</v>
      </c>
      <c r="AM90" s="27">
        <v>63.54</v>
      </c>
      <c r="AN90" s="27">
        <v>62.55</v>
      </c>
      <c r="AO90" s="27">
        <v>61.55</v>
      </c>
      <c r="AP90" s="28">
        <v>2468.4</v>
      </c>
      <c r="AQ90" s="28">
        <v>2583.15</v>
      </c>
      <c r="AR90" s="28">
        <v>2560.1999999999998</v>
      </c>
      <c r="AS90" s="28">
        <v>2583.15</v>
      </c>
      <c r="AT90" s="28">
        <v>2565.3000000000002</v>
      </c>
      <c r="AU90" s="28">
        <v>2575.5</v>
      </c>
      <c r="AV90" s="29">
        <v>2904</v>
      </c>
      <c r="AW90" s="29">
        <v>3039</v>
      </c>
      <c r="AX90" s="29">
        <v>3012</v>
      </c>
      <c r="AY90" s="29">
        <v>3039</v>
      </c>
      <c r="AZ90" s="29">
        <v>3018</v>
      </c>
      <c r="BA90" s="29">
        <v>3030</v>
      </c>
      <c r="BB90" s="30">
        <v>140000</v>
      </c>
      <c r="BC90" s="30">
        <v>121100</v>
      </c>
      <c r="BD90" s="30">
        <v>121100</v>
      </c>
      <c r="BE90" s="30">
        <v>121100</v>
      </c>
      <c r="BF90" s="30">
        <v>121100</v>
      </c>
      <c r="BG90" s="30">
        <v>121100</v>
      </c>
    </row>
    <row r="91" spans="1:59" ht="15.75" thickBot="1" x14ac:dyDescent="0.3">
      <c r="A91" s="19" t="s">
        <v>368</v>
      </c>
      <c r="B91" s="19" t="s">
        <v>369</v>
      </c>
      <c r="C91" s="20">
        <v>1</v>
      </c>
      <c r="D91" s="20">
        <v>1</v>
      </c>
      <c r="E91" s="20">
        <v>1</v>
      </c>
      <c r="F91" s="20">
        <v>1</v>
      </c>
      <c r="G91" s="20">
        <v>1</v>
      </c>
      <c r="H91" s="20">
        <v>1</v>
      </c>
      <c r="I91" s="21">
        <v>1</v>
      </c>
      <c r="J91" s="22">
        <v>2.56</v>
      </c>
      <c r="K91" s="22">
        <v>2.67</v>
      </c>
      <c r="L91" s="22">
        <v>3.02</v>
      </c>
      <c r="M91" s="22">
        <v>3.33</v>
      </c>
      <c r="N91" s="22">
        <v>3.67</v>
      </c>
      <c r="O91" s="22">
        <v>3.82</v>
      </c>
      <c r="P91" s="23">
        <v>85</v>
      </c>
      <c r="Q91" s="23">
        <v>0</v>
      </c>
      <c r="R91" s="24">
        <v>85</v>
      </c>
      <c r="S91" s="24">
        <v>85</v>
      </c>
      <c r="T91" s="24">
        <v>85</v>
      </c>
      <c r="U91" s="24">
        <v>85</v>
      </c>
      <c r="V91" s="24">
        <v>85</v>
      </c>
      <c r="W91" s="24">
        <v>85</v>
      </c>
      <c r="X91" s="25">
        <v>19.73</v>
      </c>
      <c r="Y91" s="25">
        <v>27.66</v>
      </c>
      <c r="Z91" s="25">
        <v>31.62</v>
      </c>
      <c r="AA91" s="25">
        <v>36.72</v>
      </c>
      <c r="AB91" s="25">
        <v>42.08</v>
      </c>
      <c r="AC91" s="25">
        <v>43.01</v>
      </c>
      <c r="AD91" s="26">
        <v>16.77</v>
      </c>
      <c r="AE91" s="26">
        <v>23.51</v>
      </c>
      <c r="AF91" s="26">
        <v>26.88</v>
      </c>
      <c r="AG91" s="26">
        <v>31.21</v>
      </c>
      <c r="AH91" s="26">
        <v>35.770000000000003</v>
      </c>
      <c r="AI91" s="26">
        <v>36.56</v>
      </c>
      <c r="AJ91" s="27">
        <v>487.01</v>
      </c>
      <c r="AK91" s="27">
        <v>714.52</v>
      </c>
      <c r="AL91" s="27">
        <v>809.48</v>
      </c>
      <c r="AM91" s="27">
        <v>948.41</v>
      </c>
      <c r="AN91" s="27">
        <v>1079.5999999999999</v>
      </c>
      <c r="AO91" s="27">
        <v>1107.76</v>
      </c>
      <c r="AP91" s="28">
        <v>2468.4</v>
      </c>
      <c r="AQ91" s="28">
        <v>2583.15</v>
      </c>
      <c r="AR91" s="28">
        <v>2560.1999999999998</v>
      </c>
      <c r="AS91" s="28">
        <v>2583.15</v>
      </c>
      <c r="AT91" s="28">
        <v>2565.3000000000002</v>
      </c>
      <c r="AU91" s="28">
        <v>2575.5</v>
      </c>
      <c r="AV91" s="29">
        <v>2904</v>
      </c>
      <c r="AW91" s="29">
        <v>3039</v>
      </c>
      <c r="AX91" s="29">
        <v>3012</v>
      </c>
      <c r="AY91" s="29">
        <v>3039</v>
      </c>
      <c r="AZ91" s="29">
        <v>3018</v>
      </c>
      <c r="BA91" s="29">
        <v>3030</v>
      </c>
      <c r="BB91" s="30">
        <v>450000</v>
      </c>
      <c r="BC91" s="30">
        <v>670268</v>
      </c>
      <c r="BD91" s="30">
        <v>771092</v>
      </c>
      <c r="BE91" s="30">
        <v>917623</v>
      </c>
      <c r="BF91" s="30">
        <v>1061223</v>
      </c>
      <c r="BG91" s="30">
        <v>1106560</v>
      </c>
    </row>
    <row r="92" spans="1:59" ht="15.75" thickBot="1" x14ac:dyDescent="0.3">
      <c r="A92" s="19" t="s">
        <v>309</v>
      </c>
      <c r="B92" s="19" t="s">
        <v>310</v>
      </c>
      <c r="C92" s="20">
        <v>1</v>
      </c>
      <c r="D92" s="20">
        <v>1</v>
      </c>
      <c r="E92" s="20">
        <v>1</v>
      </c>
      <c r="F92" s="20">
        <v>1</v>
      </c>
      <c r="G92" s="20">
        <v>1</v>
      </c>
      <c r="H92" s="20">
        <v>1</v>
      </c>
      <c r="I92" s="21">
        <v>1</v>
      </c>
      <c r="J92" s="22">
        <v>2.56</v>
      </c>
      <c r="K92" s="22">
        <v>2.67</v>
      </c>
      <c r="L92" s="22">
        <v>3.02</v>
      </c>
      <c r="M92" s="22">
        <v>3.33</v>
      </c>
      <c r="N92" s="22">
        <v>3.67</v>
      </c>
      <c r="O92" s="22">
        <v>3.82</v>
      </c>
      <c r="P92" s="23">
        <v>85</v>
      </c>
      <c r="Q92" s="23">
        <v>0</v>
      </c>
      <c r="R92" s="24">
        <v>85</v>
      </c>
      <c r="S92" s="24">
        <v>85</v>
      </c>
      <c r="T92" s="24">
        <v>85</v>
      </c>
      <c r="U92" s="24">
        <v>85</v>
      </c>
      <c r="V92" s="24">
        <v>85</v>
      </c>
      <c r="W92" s="24">
        <v>85</v>
      </c>
      <c r="X92" s="25">
        <v>58.43</v>
      </c>
      <c r="Y92" s="25">
        <v>81.92</v>
      </c>
      <c r="Z92" s="25">
        <v>93.64</v>
      </c>
      <c r="AA92" s="25">
        <v>108.73</v>
      </c>
      <c r="AB92" s="25">
        <v>124.64</v>
      </c>
      <c r="AC92" s="25">
        <v>127.38</v>
      </c>
      <c r="AD92" s="26">
        <v>49.67</v>
      </c>
      <c r="AE92" s="26">
        <v>69.63</v>
      </c>
      <c r="AF92" s="26">
        <v>79.59</v>
      </c>
      <c r="AG92" s="26">
        <v>92.42</v>
      </c>
      <c r="AH92" s="26">
        <v>105.94</v>
      </c>
      <c r="AI92" s="26">
        <v>108.27</v>
      </c>
      <c r="AJ92" s="27">
        <v>1442.31</v>
      </c>
      <c r="AK92" s="27">
        <v>2116.0700000000002</v>
      </c>
      <c r="AL92" s="27">
        <v>2397.31</v>
      </c>
      <c r="AM92" s="27">
        <v>2808.75</v>
      </c>
      <c r="AN92" s="27">
        <v>3197.28</v>
      </c>
      <c r="AO92" s="27">
        <v>3280.67</v>
      </c>
      <c r="AP92" s="28">
        <v>2468.4</v>
      </c>
      <c r="AQ92" s="28">
        <v>2583.15</v>
      </c>
      <c r="AR92" s="28">
        <v>2560.1999999999998</v>
      </c>
      <c r="AS92" s="28">
        <v>2583.15</v>
      </c>
      <c r="AT92" s="28">
        <v>2565.3000000000002</v>
      </c>
      <c r="AU92" s="28">
        <v>2575.5</v>
      </c>
      <c r="AV92" s="29">
        <v>2904</v>
      </c>
      <c r="AW92" s="29">
        <v>3039</v>
      </c>
      <c r="AX92" s="29">
        <v>3012</v>
      </c>
      <c r="AY92" s="29">
        <v>3039</v>
      </c>
      <c r="AZ92" s="29">
        <v>3018</v>
      </c>
      <c r="BA92" s="29">
        <v>3030</v>
      </c>
      <c r="BB92" s="30">
        <v>450000</v>
      </c>
      <c r="BC92" s="30">
        <v>670268</v>
      </c>
      <c r="BD92" s="30">
        <v>771092</v>
      </c>
      <c r="BE92" s="30">
        <v>917623</v>
      </c>
      <c r="BF92" s="30">
        <v>1061223</v>
      </c>
      <c r="BG92" s="30">
        <v>1106560</v>
      </c>
    </row>
    <row r="93" spans="1:59" ht="15.75" thickBot="1" x14ac:dyDescent="0.3">
      <c r="A93" s="19" t="s">
        <v>654</v>
      </c>
      <c r="B93" s="19" t="s">
        <v>572</v>
      </c>
      <c r="C93" s="20">
        <v>1</v>
      </c>
      <c r="D93" s="20">
        <v>1</v>
      </c>
      <c r="E93" s="20">
        <v>1</v>
      </c>
      <c r="F93" s="20">
        <v>1</v>
      </c>
      <c r="G93" s="20">
        <v>1</v>
      </c>
      <c r="H93" s="20">
        <v>1</v>
      </c>
      <c r="I93" s="21">
        <v>1</v>
      </c>
      <c r="J93" s="22">
        <v>2.56</v>
      </c>
      <c r="K93" s="22">
        <v>2.67</v>
      </c>
      <c r="L93" s="22">
        <v>3.02</v>
      </c>
      <c r="M93" s="22">
        <v>3.33</v>
      </c>
      <c r="N93" s="22">
        <v>3.67</v>
      </c>
      <c r="O93" s="22">
        <v>3.82</v>
      </c>
      <c r="P93" s="23">
        <v>85</v>
      </c>
      <c r="Q93" s="23">
        <v>0</v>
      </c>
      <c r="R93" s="24">
        <v>85</v>
      </c>
      <c r="S93" s="24">
        <v>85</v>
      </c>
      <c r="T93" s="24">
        <v>85</v>
      </c>
      <c r="U93" s="24">
        <v>85</v>
      </c>
      <c r="V93" s="24">
        <v>85</v>
      </c>
      <c r="W93" s="24">
        <v>85</v>
      </c>
      <c r="X93" s="25">
        <v>0.86</v>
      </c>
      <c r="Y93" s="25">
        <v>0.28000000000000003</v>
      </c>
      <c r="Z93" s="25">
        <v>0.28000000000000003</v>
      </c>
      <c r="AA93" s="25">
        <v>0.27</v>
      </c>
      <c r="AB93" s="25">
        <v>0.27</v>
      </c>
      <c r="AC93" s="25">
        <v>0.27</v>
      </c>
      <c r="AD93" s="26">
        <v>0.73</v>
      </c>
      <c r="AE93" s="26">
        <v>0.24</v>
      </c>
      <c r="AF93" s="26">
        <v>0.24</v>
      </c>
      <c r="AG93" s="26">
        <v>0.23</v>
      </c>
      <c r="AH93" s="26">
        <v>0.23</v>
      </c>
      <c r="AI93" s="26">
        <v>0.23</v>
      </c>
      <c r="AJ93" s="27">
        <v>21.26</v>
      </c>
      <c r="AK93" s="27">
        <v>7.27</v>
      </c>
      <c r="AL93" s="27">
        <v>7.16</v>
      </c>
      <c r="AM93" s="27">
        <v>7.05</v>
      </c>
      <c r="AN93" s="27">
        <v>6.94</v>
      </c>
      <c r="AO93" s="27">
        <v>6.83</v>
      </c>
      <c r="AP93" s="28">
        <v>2468.4</v>
      </c>
      <c r="AQ93" s="28">
        <v>2583.15</v>
      </c>
      <c r="AR93" s="28">
        <v>2560.1999999999998</v>
      </c>
      <c r="AS93" s="28">
        <v>2583.15</v>
      </c>
      <c r="AT93" s="28">
        <v>2565.3000000000002</v>
      </c>
      <c r="AU93" s="28">
        <v>2575.5</v>
      </c>
      <c r="AV93" s="29">
        <v>2904</v>
      </c>
      <c r="AW93" s="29">
        <v>3039</v>
      </c>
      <c r="AX93" s="29">
        <v>3012</v>
      </c>
      <c r="AY93" s="29">
        <v>3039</v>
      </c>
      <c r="AZ93" s="29">
        <v>3018</v>
      </c>
      <c r="BA93" s="29">
        <v>3030</v>
      </c>
      <c r="BB93" s="30">
        <v>25000</v>
      </c>
      <c r="BC93" s="30">
        <v>8680</v>
      </c>
      <c r="BD93" s="30">
        <v>8680</v>
      </c>
      <c r="BE93" s="30">
        <v>8680</v>
      </c>
      <c r="BF93" s="30">
        <v>8680</v>
      </c>
      <c r="BG93" s="30">
        <v>8680</v>
      </c>
    </row>
    <row r="94" spans="1:59" ht="15.75" thickBot="1" x14ac:dyDescent="0.3">
      <c r="A94" s="19" t="s">
        <v>655</v>
      </c>
      <c r="B94" s="19" t="s">
        <v>573</v>
      </c>
      <c r="C94" s="20">
        <v>1</v>
      </c>
      <c r="D94" s="20">
        <v>1</v>
      </c>
      <c r="E94" s="20">
        <v>1</v>
      </c>
      <c r="F94" s="20">
        <v>1</v>
      </c>
      <c r="G94" s="20">
        <v>1</v>
      </c>
      <c r="H94" s="20">
        <v>1</v>
      </c>
      <c r="I94" s="21">
        <v>1</v>
      </c>
      <c r="J94" s="22">
        <v>2.56</v>
      </c>
      <c r="K94" s="22">
        <v>2.67</v>
      </c>
      <c r="L94" s="22">
        <v>3.02</v>
      </c>
      <c r="M94" s="22">
        <v>3.33</v>
      </c>
      <c r="N94" s="22">
        <v>3.67</v>
      </c>
      <c r="O94" s="22">
        <v>3.82</v>
      </c>
      <c r="P94" s="23">
        <v>85</v>
      </c>
      <c r="Q94" s="23">
        <v>0</v>
      </c>
      <c r="R94" s="24">
        <v>85</v>
      </c>
      <c r="S94" s="24">
        <v>85</v>
      </c>
      <c r="T94" s="24">
        <v>85</v>
      </c>
      <c r="U94" s="24">
        <v>85</v>
      </c>
      <c r="V94" s="24">
        <v>85</v>
      </c>
      <c r="W94" s="24">
        <v>85</v>
      </c>
      <c r="X94" s="25">
        <v>1</v>
      </c>
      <c r="Y94" s="25">
        <v>1</v>
      </c>
      <c r="Z94" s="25">
        <v>0.99</v>
      </c>
      <c r="AA94" s="25">
        <v>0.97</v>
      </c>
      <c r="AB94" s="25">
        <v>0.96</v>
      </c>
      <c r="AC94" s="25">
        <v>0.94</v>
      </c>
      <c r="AD94" s="26">
        <v>0.85</v>
      </c>
      <c r="AE94" s="26">
        <v>0.85</v>
      </c>
      <c r="AF94" s="26">
        <v>0.84</v>
      </c>
      <c r="AG94" s="26">
        <v>0.82</v>
      </c>
      <c r="AH94" s="26">
        <v>0.81</v>
      </c>
      <c r="AI94" s="26">
        <v>0.8</v>
      </c>
      <c r="AJ94" s="27">
        <v>24.77</v>
      </c>
      <c r="AK94" s="27">
        <v>25.73</v>
      </c>
      <c r="AL94" s="27">
        <v>25.34</v>
      </c>
      <c r="AM94" s="27">
        <v>24.95</v>
      </c>
      <c r="AN94" s="27">
        <v>24.56</v>
      </c>
      <c r="AO94" s="27">
        <v>24.16</v>
      </c>
      <c r="AP94" s="28">
        <v>2468.4</v>
      </c>
      <c r="AQ94" s="28">
        <v>2583.15</v>
      </c>
      <c r="AR94" s="28">
        <v>2560.1999999999998</v>
      </c>
      <c r="AS94" s="28">
        <v>2583.15</v>
      </c>
      <c r="AT94" s="28">
        <v>2565.3000000000002</v>
      </c>
      <c r="AU94" s="28">
        <v>2575.5</v>
      </c>
      <c r="AV94" s="29">
        <v>2904</v>
      </c>
      <c r="AW94" s="29">
        <v>3039</v>
      </c>
      <c r="AX94" s="29">
        <v>3012</v>
      </c>
      <c r="AY94" s="29">
        <v>3039</v>
      </c>
      <c r="AZ94" s="29">
        <v>3018</v>
      </c>
      <c r="BA94" s="29">
        <v>3030</v>
      </c>
      <c r="BB94" s="30">
        <v>371000</v>
      </c>
      <c r="BC94" s="30">
        <v>391273</v>
      </c>
      <c r="BD94" s="30">
        <v>391273</v>
      </c>
      <c r="BE94" s="30">
        <v>391273</v>
      </c>
      <c r="BF94" s="30">
        <v>391273</v>
      </c>
      <c r="BG94" s="30">
        <v>391273</v>
      </c>
    </row>
    <row r="95" spans="1:59" ht="15.75" thickBot="1" x14ac:dyDescent="0.3">
      <c r="A95" s="19" t="s">
        <v>328</v>
      </c>
      <c r="B95" s="19" t="s">
        <v>329</v>
      </c>
      <c r="C95" s="20">
        <v>1</v>
      </c>
      <c r="D95" s="20">
        <v>1</v>
      </c>
      <c r="E95" s="20">
        <v>1</v>
      </c>
      <c r="F95" s="20">
        <v>1</v>
      </c>
      <c r="G95" s="20">
        <v>1</v>
      </c>
      <c r="H95" s="20">
        <v>1</v>
      </c>
      <c r="I95" s="21">
        <v>1</v>
      </c>
      <c r="J95" s="22">
        <v>2.56</v>
      </c>
      <c r="K95" s="22">
        <v>2.67</v>
      </c>
      <c r="L95" s="22">
        <v>3.02</v>
      </c>
      <c r="M95" s="22">
        <v>3.33</v>
      </c>
      <c r="N95" s="22">
        <v>3.67</v>
      </c>
      <c r="O95" s="22">
        <v>3.82</v>
      </c>
      <c r="P95" s="23">
        <v>85</v>
      </c>
      <c r="Q95" s="23">
        <v>0</v>
      </c>
      <c r="R95" s="24">
        <v>85</v>
      </c>
      <c r="S95" s="24">
        <v>85</v>
      </c>
      <c r="T95" s="24">
        <v>85</v>
      </c>
      <c r="U95" s="24">
        <v>85</v>
      </c>
      <c r="V95" s="24">
        <v>85</v>
      </c>
      <c r="W95" s="24">
        <v>85</v>
      </c>
      <c r="X95" s="25">
        <v>0</v>
      </c>
      <c r="Y95" s="25">
        <v>0</v>
      </c>
      <c r="Z95" s="25">
        <v>0</v>
      </c>
      <c r="AA95" s="25">
        <v>0</v>
      </c>
      <c r="AB95" s="25">
        <v>0</v>
      </c>
      <c r="AC95" s="25">
        <v>0</v>
      </c>
      <c r="AD95" s="26">
        <v>0</v>
      </c>
      <c r="AE95" s="26">
        <v>0</v>
      </c>
      <c r="AF95" s="26">
        <v>0</v>
      </c>
      <c r="AG95" s="26">
        <v>0</v>
      </c>
      <c r="AH95" s="26">
        <v>0</v>
      </c>
      <c r="AI95" s="26">
        <v>0</v>
      </c>
      <c r="AJ95" s="27">
        <v>0</v>
      </c>
      <c r="AK95" s="27">
        <v>0</v>
      </c>
      <c r="AL95" s="27">
        <v>0</v>
      </c>
      <c r="AM95" s="27">
        <v>0</v>
      </c>
      <c r="AN95" s="27">
        <v>0</v>
      </c>
      <c r="AO95" s="27">
        <v>0</v>
      </c>
      <c r="AP95" s="28">
        <v>2468.4</v>
      </c>
      <c r="AQ95" s="28">
        <v>2583.15</v>
      </c>
      <c r="AR95" s="28">
        <v>2560.1999999999998</v>
      </c>
      <c r="AS95" s="28">
        <v>2583.15</v>
      </c>
      <c r="AT95" s="28">
        <v>2565.3000000000002</v>
      </c>
      <c r="AU95" s="28">
        <v>2575.5</v>
      </c>
      <c r="AV95" s="29">
        <v>2904</v>
      </c>
      <c r="AW95" s="29">
        <v>3039</v>
      </c>
      <c r="AX95" s="29">
        <v>3012</v>
      </c>
      <c r="AY95" s="29">
        <v>3039</v>
      </c>
      <c r="AZ95" s="29">
        <v>3018</v>
      </c>
      <c r="BA95" s="29">
        <v>3030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</row>
    <row r="96" spans="1:59" ht="15.75" thickBot="1" x14ac:dyDescent="0.3">
      <c r="A96" s="19" t="s">
        <v>330</v>
      </c>
      <c r="B96" s="19" t="s">
        <v>331</v>
      </c>
      <c r="C96" s="20">
        <v>1</v>
      </c>
      <c r="D96" s="20">
        <v>1</v>
      </c>
      <c r="E96" s="20">
        <v>1</v>
      </c>
      <c r="F96" s="20">
        <v>1</v>
      </c>
      <c r="G96" s="20">
        <v>1</v>
      </c>
      <c r="H96" s="20">
        <v>1</v>
      </c>
      <c r="I96" s="21">
        <v>1</v>
      </c>
      <c r="J96" s="22">
        <v>2.56</v>
      </c>
      <c r="K96" s="22">
        <v>2.67</v>
      </c>
      <c r="L96" s="22">
        <v>3.02</v>
      </c>
      <c r="M96" s="22">
        <v>3.33</v>
      </c>
      <c r="N96" s="22">
        <v>3.67</v>
      </c>
      <c r="O96" s="22">
        <v>3.82</v>
      </c>
      <c r="P96" s="23">
        <v>85</v>
      </c>
      <c r="Q96" s="23">
        <v>0</v>
      </c>
      <c r="R96" s="24">
        <v>85</v>
      </c>
      <c r="S96" s="24">
        <v>85</v>
      </c>
      <c r="T96" s="24">
        <v>85</v>
      </c>
      <c r="U96" s="24">
        <v>85</v>
      </c>
      <c r="V96" s="24">
        <v>85</v>
      </c>
      <c r="W96" s="24">
        <v>85</v>
      </c>
      <c r="X96" s="25">
        <v>0</v>
      </c>
      <c r="Y96" s="25">
        <v>0</v>
      </c>
      <c r="Z96" s="25">
        <v>0</v>
      </c>
      <c r="AA96" s="25">
        <v>0</v>
      </c>
      <c r="AB96" s="25">
        <v>0</v>
      </c>
      <c r="AC96" s="25">
        <v>0</v>
      </c>
      <c r="AD96" s="26">
        <v>0</v>
      </c>
      <c r="AE96" s="26">
        <v>0</v>
      </c>
      <c r="AF96" s="26">
        <v>0</v>
      </c>
      <c r="AG96" s="26">
        <v>0</v>
      </c>
      <c r="AH96" s="26">
        <v>0</v>
      </c>
      <c r="AI96" s="26">
        <v>0</v>
      </c>
      <c r="AJ96" s="27">
        <v>0</v>
      </c>
      <c r="AK96" s="27">
        <v>0</v>
      </c>
      <c r="AL96" s="27">
        <v>0</v>
      </c>
      <c r="AM96" s="27">
        <v>0</v>
      </c>
      <c r="AN96" s="27">
        <v>0</v>
      </c>
      <c r="AO96" s="27">
        <v>0</v>
      </c>
      <c r="AP96" s="28">
        <v>2468.4</v>
      </c>
      <c r="AQ96" s="28">
        <v>2583.15</v>
      </c>
      <c r="AR96" s="28">
        <v>2560.1999999999998</v>
      </c>
      <c r="AS96" s="28">
        <v>2583.15</v>
      </c>
      <c r="AT96" s="28">
        <v>2565.3000000000002</v>
      </c>
      <c r="AU96" s="28">
        <v>2575.5</v>
      </c>
      <c r="AV96" s="29">
        <v>2904</v>
      </c>
      <c r="AW96" s="29">
        <v>3039</v>
      </c>
      <c r="AX96" s="29">
        <v>3012</v>
      </c>
      <c r="AY96" s="29">
        <v>3039</v>
      </c>
      <c r="AZ96" s="29">
        <v>3018</v>
      </c>
      <c r="BA96" s="29">
        <v>3030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</row>
    <row r="97" spans="1:59" ht="15.75" thickBot="1" x14ac:dyDescent="0.3">
      <c r="A97" s="19" t="s">
        <v>574</v>
      </c>
      <c r="B97" s="19" t="s">
        <v>575</v>
      </c>
      <c r="C97" s="20">
        <v>1</v>
      </c>
      <c r="D97" s="20">
        <v>1</v>
      </c>
      <c r="E97" s="20">
        <v>1</v>
      </c>
      <c r="F97" s="20">
        <v>1</v>
      </c>
      <c r="G97" s="20">
        <v>1</v>
      </c>
      <c r="H97" s="20">
        <v>1</v>
      </c>
      <c r="I97" s="21">
        <v>1</v>
      </c>
      <c r="J97" s="22">
        <v>2.56</v>
      </c>
      <c r="K97" s="22">
        <v>2.67</v>
      </c>
      <c r="L97" s="22">
        <v>3.02</v>
      </c>
      <c r="M97" s="22">
        <v>3.33</v>
      </c>
      <c r="N97" s="22">
        <v>3.67</v>
      </c>
      <c r="O97" s="22">
        <v>3.82</v>
      </c>
      <c r="P97" s="23">
        <v>85</v>
      </c>
      <c r="Q97" s="23">
        <v>0</v>
      </c>
      <c r="R97" s="24">
        <v>85</v>
      </c>
      <c r="S97" s="24">
        <v>85</v>
      </c>
      <c r="T97" s="24">
        <v>85</v>
      </c>
      <c r="U97" s="24">
        <v>85</v>
      </c>
      <c r="V97" s="24">
        <v>85</v>
      </c>
      <c r="W97" s="24">
        <v>85</v>
      </c>
      <c r="X97" s="25">
        <v>0</v>
      </c>
      <c r="Y97" s="25">
        <v>0</v>
      </c>
      <c r="Z97" s="25">
        <v>12.37</v>
      </c>
      <c r="AA97" s="25">
        <v>24.14</v>
      </c>
      <c r="AB97" s="25">
        <v>35.89</v>
      </c>
      <c r="AC97" s="25">
        <v>46.9</v>
      </c>
      <c r="AD97" s="26">
        <v>0</v>
      </c>
      <c r="AE97" s="26">
        <v>0</v>
      </c>
      <c r="AF97" s="26">
        <v>10.51</v>
      </c>
      <c r="AG97" s="26">
        <v>20.52</v>
      </c>
      <c r="AH97" s="26">
        <v>30.51</v>
      </c>
      <c r="AI97" s="26">
        <v>39.869999999999997</v>
      </c>
      <c r="AJ97" s="27">
        <v>0</v>
      </c>
      <c r="AK97" s="27">
        <v>0</v>
      </c>
      <c r="AL97" s="27">
        <v>316.69</v>
      </c>
      <c r="AM97" s="27">
        <v>623.58000000000004</v>
      </c>
      <c r="AN97" s="27">
        <v>920.68</v>
      </c>
      <c r="AO97" s="27">
        <v>1207.99</v>
      </c>
      <c r="AP97" s="28">
        <v>2468.4</v>
      </c>
      <c r="AQ97" s="28">
        <v>2583.15</v>
      </c>
      <c r="AR97" s="28">
        <v>2560.1999999999998</v>
      </c>
      <c r="AS97" s="28">
        <v>2583.15</v>
      </c>
      <c r="AT97" s="28">
        <v>2565.3000000000002</v>
      </c>
      <c r="AU97" s="28">
        <v>2575.5</v>
      </c>
      <c r="AV97" s="29">
        <v>2904</v>
      </c>
      <c r="AW97" s="29">
        <v>3039</v>
      </c>
      <c r="AX97" s="29">
        <v>3012</v>
      </c>
      <c r="AY97" s="29">
        <v>3039</v>
      </c>
      <c r="AZ97" s="29">
        <v>3018</v>
      </c>
      <c r="BA97" s="29">
        <v>3030</v>
      </c>
      <c r="BB97" s="30">
        <v>0</v>
      </c>
      <c r="BC97" s="30">
        <v>0</v>
      </c>
      <c r="BD97" s="30">
        <v>2448630</v>
      </c>
      <c r="BE97" s="30">
        <v>4897260</v>
      </c>
      <c r="BF97" s="30">
        <v>7345890</v>
      </c>
      <c r="BG97" s="30">
        <v>9794521</v>
      </c>
    </row>
    <row r="98" spans="1:59" ht="15.75" thickBot="1" x14ac:dyDescent="0.3">
      <c r="A98" s="19" t="s">
        <v>334</v>
      </c>
      <c r="B98" s="19" t="s">
        <v>370</v>
      </c>
      <c r="C98" s="20">
        <v>1</v>
      </c>
      <c r="D98" s="20">
        <v>1</v>
      </c>
      <c r="E98" s="20">
        <v>1</v>
      </c>
      <c r="F98" s="20">
        <v>1</v>
      </c>
      <c r="G98" s="20">
        <v>1</v>
      </c>
      <c r="H98" s="20">
        <v>1</v>
      </c>
      <c r="I98" s="21">
        <v>1</v>
      </c>
      <c r="J98" s="22">
        <v>2.56</v>
      </c>
      <c r="K98" s="22">
        <v>2.67</v>
      </c>
      <c r="L98" s="22">
        <v>3.02</v>
      </c>
      <c r="M98" s="22">
        <v>3.33</v>
      </c>
      <c r="N98" s="22">
        <v>3.67</v>
      </c>
      <c r="O98" s="22">
        <v>3.82</v>
      </c>
      <c r="P98" s="23">
        <v>85</v>
      </c>
      <c r="Q98" s="23">
        <v>0</v>
      </c>
      <c r="R98" s="24">
        <v>85</v>
      </c>
      <c r="S98" s="24">
        <v>85</v>
      </c>
      <c r="T98" s="24">
        <v>85</v>
      </c>
      <c r="U98" s="24">
        <v>85</v>
      </c>
      <c r="V98" s="24">
        <v>85</v>
      </c>
      <c r="W98" s="24">
        <v>85</v>
      </c>
      <c r="X98" s="25">
        <v>0</v>
      </c>
      <c r="Y98" s="25">
        <v>0.15</v>
      </c>
      <c r="Z98" s="25">
        <v>8.9499999999999993</v>
      </c>
      <c r="AA98" s="25">
        <v>11.65</v>
      </c>
      <c r="AB98" s="25">
        <v>14.43</v>
      </c>
      <c r="AC98" s="25">
        <v>16.97</v>
      </c>
      <c r="AD98" s="26">
        <v>0</v>
      </c>
      <c r="AE98" s="26">
        <v>0.12</v>
      </c>
      <c r="AF98" s="26">
        <v>7.61</v>
      </c>
      <c r="AG98" s="26">
        <v>9.9</v>
      </c>
      <c r="AH98" s="26">
        <v>12.26</v>
      </c>
      <c r="AI98" s="26">
        <v>14.42</v>
      </c>
      <c r="AJ98" s="27">
        <v>0</v>
      </c>
      <c r="AK98" s="27">
        <v>3.79</v>
      </c>
      <c r="AL98" s="27">
        <v>229.16</v>
      </c>
      <c r="AM98" s="27">
        <v>300.82</v>
      </c>
      <c r="AN98" s="27">
        <v>370.12</v>
      </c>
      <c r="AO98" s="27">
        <v>437.05</v>
      </c>
      <c r="AP98" s="28">
        <v>2468.4</v>
      </c>
      <c r="AQ98" s="28">
        <v>2583.15</v>
      </c>
      <c r="AR98" s="28">
        <v>2560.1999999999998</v>
      </c>
      <c r="AS98" s="28">
        <v>2583.15</v>
      </c>
      <c r="AT98" s="28">
        <v>2565.3000000000002</v>
      </c>
      <c r="AU98" s="28">
        <v>2575.5</v>
      </c>
      <c r="AV98" s="29">
        <v>2904</v>
      </c>
      <c r="AW98" s="29">
        <v>3039</v>
      </c>
      <c r="AX98" s="29">
        <v>3012</v>
      </c>
      <c r="AY98" s="29">
        <v>3039</v>
      </c>
      <c r="AZ98" s="29">
        <v>3018</v>
      </c>
      <c r="BA98" s="29">
        <v>3030</v>
      </c>
      <c r="BB98" s="30">
        <v>0</v>
      </c>
      <c r="BC98" s="30">
        <v>2911</v>
      </c>
      <c r="BD98" s="30">
        <v>178601</v>
      </c>
      <c r="BE98" s="30">
        <v>238135</v>
      </c>
      <c r="BF98" s="30">
        <v>297669</v>
      </c>
      <c r="BG98" s="30">
        <v>357202</v>
      </c>
    </row>
    <row r="99" spans="1:59" x14ac:dyDescent="0.25">
      <c r="A99" s="117" t="s">
        <v>692</v>
      </c>
      <c r="B99" s="118" t="s">
        <v>690</v>
      </c>
      <c r="C99" s="119" t="s">
        <v>691</v>
      </c>
      <c r="D99" s="119" t="s">
        <v>689</v>
      </c>
      <c r="E99" s="133" t="s">
        <v>688</v>
      </c>
      <c r="F99" s="120" t="s">
        <v>693</v>
      </c>
      <c r="AJ99" s="132">
        <f>F100</f>
        <v>0</v>
      </c>
    </row>
    <row r="100" spans="1:59" x14ac:dyDescent="0.25">
      <c r="A100" s="95"/>
      <c r="B100" s="95"/>
      <c r="C100" s="95"/>
      <c r="D100" s="131">
        <f>C100/60</f>
        <v>0</v>
      </c>
      <c r="E100" s="95"/>
      <c r="F100" s="131">
        <f>IF(AND(C100&lt;&gt;0,E100&lt;&gt;0),E100/C100,0)</f>
        <v>0</v>
      </c>
      <c r="AJ100" s="132">
        <f t="shared" ref="AJ100:AJ138" si="0">F101</f>
        <v>0</v>
      </c>
    </row>
    <row r="101" spans="1:59" x14ac:dyDescent="0.25">
      <c r="A101" s="95"/>
      <c r="B101" s="95"/>
      <c r="C101" s="95"/>
      <c r="D101" s="131">
        <f t="shared" ref="D101:D138" si="1">C101/60</f>
        <v>0</v>
      </c>
      <c r="E101" s="95"/>
      <c r="F101" s="131">
        <f t="shared" ref="F101:F138" si="2">IF(AND(C101&lt;&gt;0,E101&lt;&gt;0),E101/C101,0)</f>
        <v>0</v>
      </c>
      <c r="AJ101" s="132">
        <f t="shared" si="0"/>
        <v>0</v>
      </c>
    </row>
    <row r="102" spans="1:59" x14ac:dyDescent="0.25">
      <c r="A102" s="95"/>
      <c r="B102" s="95"/>
      <c r="C102" s="95"/>
      <c r="D102" s="131">
        <f t="shared" si="1"/>
        <v>0</v>
      </c>
      <c r="E102" s="95"/>
      <c r="F102" s="131">
        <f t="shared" si="2"/>
        <v>0</v>
      </c>
      <c r="AJ102" s="132">
        <f t="shared" si="0"/>
        <v>0</v>
      </c>
    </row>
    <row r="103" spans="1:59" x14ac:dyDescent="0.25">
      <c r="A103" s="95"/>
      <c r="B103" s="95"/>
      <c r="C103" s="95"/>
      <c r="D103" s="131">
        <f t="shared" si="1"/>
        <v>0</v>
      </c>
      <c r="E103" s="95"/>
      <c r="F103" s="131">
        <f t="shared" si="2"/>
        <v>0</v>
      </c>
      <c r="AJ103" s="132">
        <f t="shared" si="0"/>
        <v>0</v>
      </c>
    </row>
    <row r="104" spans="1:59" x14ac:dyDescent="0.25">
      <c r="A104" s="95"/>
      <c r="B104" s="95"/>
      <c r="C104" s="95"/>
      <c r="D104" s="131">
        <f t="shared" si="1"/>
        <v>0</v>
      </c>
      <c r="E104" s="95"/>
      <c r="F104" s="131">
        <f t="shared" si="2"/>
        <v>0</v>
      </c>
      <c r="AJ104" s="132">
        <f t="shared" si="0"/>
        <v>0</v>
      </c>
    </row>
    <row r="105" spans="1:59" x14ac:dyDescent="0.25">
      <c r="A105" s="95"/>
      <c r="B105" s="95"/>
      <c r="C105" s="95"/>
      <c r="D105" s="131">
        <f t="shared" si="1"/>
        <v>0</v>
      </c>
      <c r="E105" s="95"/>
      <c r="F105" s="131">
        <f t="shared" si="2"/>
        <v>0</v>
      </c>
      <c r="AJ105" s="132">
        <f t="shared" si="0"/>
        <v>0</v>
      </c>
    </row>
    <row r="106" spans="1:59" x14ac:dyDescent="0.25">
      <c r="A106" s="95"/>
      <c r="B106" s="95"/>
      <c r="C106" s="95"/>
      <c r="D106" s="131">
        <f t="shared" si="1"/>
        <v>0</v>
      </c>
      <c r="E106" s="95"/>
      <c r="F106" s="131">
        <f t="shared" si="2"/>
        <v>0</v>
      </c>
      <c r="AJ106" s="132">
        <f t="shared" si="0"/>
        <v>0</v>
      </c>
    </row>
    <row r="107" spans="1:59" x14ac:dyDescent="0.25">
      <c r="A107" s="95"/>
      <c r="B107" s="95"/>
      <c r="C107" s="95"/>
      <c r="D107" s="131">
        <f t="shared" si="1"/>
        <v>0</v>
      </c>
      <c r="E107" s="95"/>
      <c r="F107" s="131">
        <f t="shared" si="2"/>
        <v>0</v>
      </c>
      <c r="AJ107" s="132">
        <f t="shared" si="0"/>
        <v>0</v>
      </c>
    </row>
    <row r="108" spans="1:59" x14ac:dyDescent="0.25">
      <c r="A108" s="95"/>
      <c r="B108" s="95"/>
      <c r="C108" s="95"/>
      <c r="D108" s="131">
        <f t="shared" si="1"/>
        <v>0</v>
      </c>
      <c r="E108" s="95"/>
      <c r="F108" s="131">
        <f t="shared" si="2"/>
        <v>0</v>
      </c>
      <c r="AJ108" s="132">
        <f t="shared" si="0"/>
        <v>0</v>
      </c>
    </row>
    <row r="109" spans="1:59" x14ac:dyDescent="0.25">
      <c r="A109" s="95"/>
      <c r="B109" s="95"/>
      <c r="C109" s="95"/>
      <c r="D109" s="131">
        <f t="shared" si="1"/>
        <v>0</v>
      </c>
      <c r="E109" s="95"/>
      <c r="F109" s="131">
        <f t="shared" si="2"/>
        <v>0</v>
      </c>
      <c r="AJ109" s="132">
        <f t="shared" si="0"/>
        <v>0</v>
      </c>
    </row>
    <row r="110" spans="1:59" x14ac:dyDescent="0.25">
      <c r="A110" s="95"/>
      <c r="B110" s="95"/>
      <c r="C110" s="95"/>
      <c r="D110" s="131">
        <f t="shared" si="1"/>
        <v>0</v>
      </c>
      <c r="E110" s="95"/>
      <c r="F110" s="131">
        <f t="shared" si="2"/>
        <v>0</v>
      </c>
      <c r="AJ110" s="132">
        <f t="shared" si="0"/>
        <v>0</v>
      </c>
    </row>
    <row r="111" spans="1:59" x14ac:dyDescent="0.25">
      <c r="A111" s="95"/>
      <c r="B111" s="95"/>
      <c r="C111" s="95"/>
      <c r="D111" s="131">
        <f t="shared" si="1"/>
        <v>0</v>
      </c>
      <c r="E111" s="95"/>
      <c r="F111" s="131">
        <f t="shared" si="2"/>
        <v>0</v>
      </c>
      <c r="AJ111" s="132">
        <f t="shared" si="0"/>
        <v>0</v>
      </c>
    </row>
    <row r="112" spans="1:59" x14ac:dyDescent="0.25">
      <c r="A112" s="95"/>
      <c r="B112" s="95"/>
      <c r="C112" s="95"/>
      <c r="D112" s="131">
        <f t="shared" si="1"/>
        <v>0</v>
      </c>
      <c r="E112" s="95"/>
      <c r="F112" s="131">
        <f t="shared" si="2"/>
        <v>0</v>
      </c>
      <c r="AJ112" s="132">
        <f t="shared" si="0"/>
        <v>0</v>
      </c>
    </row>
    <row r="113" spans="1:36" x14ac:dyDescent="0.25">
      <c r="A113" s="95"/>
      <c r="B113" s="95"/>
      <c r="C113" s="95"/>
      <c r="D113" s="131">
        <f t="shared" si="1"/>
        <v>0</v>
      </c>
      <c r="E113" s="95"/>
      <c r="F113" s="131">
        <f t="shared" si="2"/>
        <v>0</v>
      </c>
      <c r="AJ113" s="132">
        <f t="shared" si="0"/>
        <v>0</v>
      </c>
    </row>
    <row r="114" spans="1:36" x14ac:dyDescent="0.25">
      <c r="A114" s="95"/>
      <c r="B114" s="95"/>
      <c r="C114" s="95"/>
      <c r="D114" s="131">
        <f t="shared" si="1"/>
        <v>0</v>
      </c>
      <c r="E114" s="95"/>
      <c r="F114" s="131">
        <f t="shared" si="2"/>
        <v>0</v>
      </c>
      <c r="AJ114" s="132">
        <f t="shared" si="0"/>
        <v>0</v>
      </c>
    </row>
    <row r="115" spans="1:36" x14ac:dyDescent="0.25">
      <c r="A115" s="95"/>
      <c r="B115" s="95"/>
      <c r="C115" s="95"/>
      <c r="D115" s="131">
        <f t="shared" si="1"/>
        <v>0</v>
      </c>
      <c r="E115" s="95"/>
      <c r="F115" s="131">
        <f t="shared" si="2"/>
        <v>0</v>
      </c>
      <c r="AJ115" s="132">
        <f t="shared" si="0"/>
        <v>0</v>
      </c>
    </row>
    <row r="116" spans="1:36" x14ac:dyDescent="0.25">
      <c r="A116" s="95"/>
      <c r="B116" s="95"/>
      <c r="C116" s="95"/>
      <c r="D116" s="131">
        <f t="shared" si="1"/>
        <v>0</v>
      </c>
      <c r="E116" s="95"/>
      <c r="F116" s="131">
        <f t="shared" si="2"/>
        <v>0</v>
      </c>
      <c r="AJ116" s="132">
        <f t="shared" si="0"/>
        <v>0</v>
      </c>
    </row>
    <row r="117" spans="1:36" x14ac:dyDescent="0.25">
      <c r="A117" s="95"/>
      <c r="B117" s="95"/>
      <c r="C117" s="95"/>
      <c r="D117" s="131">
        <f t="shared" si="1"/>
        <v>0</v>
      </c>
      <c r="E117" s="95"/>
      <c r="F117" s="131">
        <f t="shared" si="2"/>
        <v>0</v>
      </c>
      <c r="AJ117" s="132">
        <f t="shared" si="0"/>
        <v>0</v>
      </c>
    </row>
    <row r="118" spans="1:36" x14ac:dyDescent="0.25">
      <c r="A118" s="95"/>
      <c r="B118" s="95"/>
      <c r="C118" s="95"/>
      <c r="D118" s="131">
        <f t="shared" si="1"/>
        <v>0</v>
      </c>
      <c r="E118" s="95"/>
      <c r="F118" s="131">
        <f t="shared" si="2"/>
        <v>0</v>
      </c>
      <c r="AJ118" s="132">
        <f t="shared" si="0"/>
        <v>0</v>
      </c>
    </row>
    <row r="119" spans="1:36" x14ac:dyDescent="0.25">
      <c r="A119" s="95"/>
      <c r="B119" s="95"/>
      <c r="C119" s="95"/>
      <c r="D119" s="131">
        <f t="shared" si="1"/>
        <v>0</v>
      </c>
      <c r="E119" s="95"/>
      <c r="F119" s="131">
        <f t="shared" si="2"/>
        <v>0</v>
      </c>
      <c r="AJ119" s="132">
        <f t="shared" si="0"/>
        <v>0</v>
      </c>
    </row>
    <row r="120" spans="1:36" x14ac:dyDescent="0.25">
      <c r="A120" s="95"/>
      <c r="B120" s="95"/>
      <c r="C120" s="95"/>
      <c r="D120" s="131">
        <f t="shared" si="1"/>
        <v>0</v>
      </c>
      <c r="E120" s="95"/>
      <c r="F120" s="131">
        <f t="shared" si="2"/>
        <v>0</v>
      </c>
      <c r="AJ120" s="132">
        <f t="shared" si="0"/>
        <v>0</v>
      </c>
    </row>
    <row r="121" spans="1:36" x14ac:dyDescent="0.25">
      <c r="A121" s="95"/>
      <c r="B121" s="95"/>
      <c r="C121" s="95"/>
      <c r="D121" s="131">
        <f t="shared" si="1"/>
        <v>0</v>
      </c>
      <c r="E121" s="95"/>
      <c r="F121" s="131">
        <f t="shared" si="2"/>
        <v>0</v>
      </c>
      <c r="AJ121" s="132">
        <f t="shared" si="0"/>
        <v>0</v>
      </c>
    </row>
    <row r="122" spans="1:36" x14ac:dyDescent="0.25">
      <c r="A122" s="95"/>
      <c r="B122" s="95"/>
      <c r="C122" s="95"/>
      <c r="D122" s="131">
        <f t="shared" si="1"/>
        <v>0</v>
      </c>
      <c r="E122" s="95"/>
      <c r="F122" s="131">
        <f t="shared" si="2"/>
        <v>0</v>
      </c>
      <c r="AJ122" s="132">
        <f t="shared" si="0"/>
        <v>0</v>
      </c>
    </row>
    <row r="123" spans="1:36" x14ac:dyDescent="0.25">
      <c r="A123" s="95"/>
      <c r="B123" s="95"/>
      <c r="C123" s="95"/>
      <c r="D123" s="131">
        <f t="shared" si="1"/>
        <v>0</v>
      </c>
      <c r="E123" s="95"/>
      <c r="F123" s="131">
        <f t="shared" si="2"/>
        <v>0</v>
      </c>
      <c r="AJ123" s="132">
        <f t="shared" si="0"/>
        <v>0</v>
      </c>
    </row>
    <row r="124" spans="1:36" x14ac:dyDescent="0.25">
      <c r="A124" s="95"/>
      <c r="B124" s="95"/>
      <c r="C124" s="95"/>
      <c r="D124" s="131">
        <f t="shared" si="1"/>
        <v>0</v>
      </c>
      <c r="E124" s="95"/>
      <c r="F124" s="131">
        <f t="shared" si="2"/>
        <v>0</v>
      </c>
      <c r="AJ124" s="132">
        <f t="shared" si="0"/>
        <v>0</v>
      </c>
    </row>
    <row r="125" spans="1:36" x14ac:dyDescent="0.25">
      <c r="A125" s="95"/>
      <c r="B125" s="95"/>
      <c r="C125" s="95"/>
      <c r="D125" s="131">
        <f t="shared" si="1"/>
        <v>0</v>
      </c>
      <c r="E125" s="95"/>
      <c r="F125" s="131">
        <f t="shared" si="2"/>
        <v>0</v>
      </c>
      <c r="AJ125" s="132">
        <f t="shared" si="0"/>
        <v>0</v>
      </c>
    </row>
    <row r="126" spans="1:36" x14ac:dyDescent="0.25">
      <c r="A126" s="95"/>
      <c r="B126" s="95"/>
      <c r="C126" s="95"/>
      <c r="D126" s="131">
        <f t="shared" si="1"/>
        <v>0</v>
      </c>
      <c r="E126" s="95"/>
      <c r="F126" s="131">
        <f t="shared" si="2"/>
        <v>0</v>
      </c>
      <c r="AJ126" s="132">
        <f t="shared" si="0"/>
        <v>0</v>
      </c>
    </row>
    <row r="127" spans="1:36" x14ac:dyDescent="0.25">
      <c r="A127" s="95"/>
      <c r="B127" s="95"/>
      <c r="C127" s="95"/>
      <c r="D127" s="131">
        <f t="shared" si="1"/>
        <v>0</v>
      </c>
      <c r="E127" s="95"/>
      <c r="F127" s="131">
        <f t="shared" si="2"/>
        <v>0</v>
      </c>
      <c r="AJ127" s="132">
        <f t="shared" si="0"/>
        <v>0</v>
      </c>
    </row>
    <row r="128" spans="1:36" x14ac:dyDescent="0.25">
      <c r="A128" s="95"/>
      <c r="B128" s="95"/>
      <c r="C128" s="95"/>
      <c r="D128" s="131">
        <f t="shared" si="1"/>
        <v>0</v>
      </c>
      <c r="E128" s="95"/>
      <c r="F128" s="131">
        <f t="shared" si="2"/>
        <v>0</v>
      </c>
      <c r="AJ128" s="132">
        <f t="shared" si="0"/>
        <v>0</v>
      </c>
    </row>
    <row r="129" spans="1:36" x14ac:dyDescent="0.25">
      <c r="A129" s="95"/>
      <c r="B129" s="95"/>
      <c r="C129" s="95"/>
      <c r="D129" s="131">
        <f t="shared" si="1"/>
        <v>0</v>
      </c>
      <c r="E129" s="95"/>
      <c r="F129" s="131">
        <f t="shared" si="2"/>
        <v>0</v>
      </c>
      <c r="AJ129" s="132">
        <f t="shared" si="0"/>
        <v>0</v>
      </c>
    </row>
    <row r="130" spans="1:36" x14ac:dyDescent="0.25">
      <c r="A130" s="95"/>
      <c r="B130" s="95"/>
      <c r="C130" s="95"/>
      <c r="D130" s="131">
        <f t="shared" si="1"/>
        <v>0</v>
      </c>
      <c r="E130" s="95"/>
      <c r="F130" s="131">
        <f t="shared" si="2"/>
        <v>0</v>
      </c>
      <c r="AJ130" s="132">
        <f t="shared" si="0"/>
        <v>0</v>
      </c>
    </row>
    <row r="131" spans="1:36" x14ac:dyDescent="0.25">
      <c r="A131" s="95"/>
      <c r="B131" s="95"/>
      <c r="C131" s="95"/>
      <c r="D131" s="131">
        <f t="shared" si="1"/>
        <v>0</v>
      </c>
      <c r="E131" s="95"/>
      <c r="F131" s="131">
        <f t="shared" si="2"/>
        <v>0</v>
      </c>
      <c r="AJ131" s="132">
        <f t="shared" si="0"/>
        <v>0</v>
      </c>
    </row>
    <row r="132" spans="1:36" x14ac:dyDescent="0.25">
      <c r="A132" s="95"/>
      <c r="B132" s="95"/>
      <c r="C132" s="95"/>
      <c r="D132" s="131">
        <f t="shared" si="1"/>
        <v>0</v>
      </c>
      <c r="E132" s="95"/>
      <c r="F132" s="131">
        <f t="shared" si="2"/>
        <v>0</v>
      </c>
      <c r="AJ132" s="132">
        <f t="shared" si="0"/>
        <v>0</v>
      </c>
    </row>
    <row r="133" spans="1:36" x14ac:dyDescent="0.25">
      <c r="A133" s="95"/>
      <c r="B133" s="95"/>
      <c r="C133" s="95"/>
      <c r="D133" s="131">
        <f t="shared" si="1"/>
        <v>0</v>
      </c>
      <c r="E133" s="95"/>
      <c r="F133" s="131">
        <f t="shared" si="2"/>
        <v>0</v>
      </c>
      <c r="AJ133" s="132">
        <f t="shared" si="0"/>
        <v>0</v>
      </c>
    </row>
    <row r="134" spans="1:36" x14ac:dyDescent="0.25">
      <c r="A134" s="95"/>
      <c r="B134" s="95"/>
      <c r="C134" s="95"/>
      <c r="D134" s="131">
        <f t="shared" si="1"/>
        <v>0</v>
      </c>
      <c r="E134" s="95"/>
      <c r="F134" s="131">
        <f t="shared" si="2"/>
        <v>0</v>
      </c>
      <c r="AJ134" s="132">
        <f t="shared" si="0"/>
        <v>0</v>
      </c>
    </row>
    <row r="135" spans="1:36" x14ac:dyDescent="0.25">
      <c r="A135" s="95"/>
      <c r="B135" s="95"/>
      <c r="C135" s="95"/>
      <c r="D135" s="131">
        <f t="shared" si="1"/>
        <v>0</v>
      </c>
      <c r="E135" s="95"/>
      <c r="F135" s="131">
        <f t="shared" si="2"/>
        <v>0</v>
      </c>
      <c r="AJ135" s="132">
        <f t="shared" si="0"/>
        <v>0</v>
      </c>
    </row>
    <row r="136" spans="1:36" x14ac:dyDescent="0.25">
      <c r="A136" s="95"/>
      <c r="B136" s="95"/>
      <c r="C136" s="95"/>
      <c r="D136" s="131">
        <f t="shared" si="1"/>
        <v>0</v>
      </c>
      <c r="E136" s="95"/>
      <c r="F136" s="131">
        <f t="shared" si="2"/>
        <v>0</v>
      </c>
      <c r="AJ136" s="132">
        <f t="shared" si="0"/>
        <v>0</v>
      </c>
    </row>
    <row r="137" spans="1:36" x14ac:dyDescent="0.25">
      <c r="A137" s="95"/>
      <c r="B137" s="95"/>
      <c r="C137" s="95"/>
      <c r="D137" s="131">
        <f t="shared" si="1"/>
        <v>0</v>
      </c>
      <c r="E137" s="95"/>
      <c r="F137" s="131">
        <f t="shared" si="2"/>
        <v>0</v>
      </c>
      <c r="AJ137" s="132">
        <f t="shared" si="0"/>
        <v>0</v>
      </c>
    </row>
    <row r="138" spans="1:36" x14ac:dyDescent="0.25">
      <c r="A138" s="95"/>
      <c r="B138" s="95"/>
      <c r="C138" s="95"/>
      <c r="D138" s="131">
        <f t="shared" si="1"/>
        <v>0</v>
      </c>
      <c r="E138" s="95"/>
      <c r="F138" s="131">
        <f t="shared" si="2"/>
        <v>0</v>
      </c>
      <c r="AJ138" s="132">
        <f t="shared" si="0"/>
        <v>0</v>
      </c>
    </row>
  </sheetData>
  <mergeCells count="11">
    <mergeCell ref="X1:AC1"/>
    <mergeCell ref="A1:B1"/>
    <mergeCell ref="C1:H1"/>
    <mergeCell ref="J1:O1"/>
    <mergeCell ref="P1:Q1"/>
    <mergeCell ref="R1:W1"/>
    <mergeCell ref="AD1:AI1"/>
    <mergeCell ref="AJ1:AO1"/>
    <mergeCell ref="AP1:AU1"/>
    <mergeCell ref="AV1:BA1"/>
    <mergeCell ref="BB1:BG1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F1D-B0B8-47DB-930D-1C5FB12D3EEE}">
  <sheetPr codeName="Planilha1"/>
  <dimension ref="A1:BG27"/>
  <sheetViews>
    <sheetView topLeftCell="O1" workbookViewId="0">
      <selection activeCell="P34" sqref="P34"/>
    </sheetView>
  </sheetViews>
  <sheetFormatPr defaultRowHeight="15" x14ac:dyDescent="0.25"/>
  <cols>
    <col min="1" max="1" width="14.7109375" style="2" bestFit="1" customWidth="1"/>
    <col min="2" max="2" width="28.5703125" style="2" bestFit="1" customWidth="1"/>
    <col min="3" max="8" width="6.28515625" style="2" bestFit="1" customWidth="1"/>
    <col min="9" max="9" width="16.28515625" style="2" bestFit="1" customWidth="1"/>
    <col min="10" max="15" width="6.28515625" style="2" bestFit="1" customWidth="1"/>
    <col min="16" max="16" width="15.140625" style="2" bestFit="1" customWidth="1"/>
    <col min="17" max="17" width="13.85546875" style="2" bestFit="1" customWidth="1"/>
    <col min="18" max="23" width="7.42578125" style="2" bestFit="1" customWidth="1"/>
    <col min="24" max="29" width="8.5703125" style="2" bestFit="1" customWidth="1"/>
    <col min="30" max="31" width="7.42578125" style="2" bestFit="1" customWidth="1"/>
    <col min="32" max="35" width="8.5703125" style="2" bestFit="1" customWidth="1"/>
    <col min="36" max="53" width="11.42578125" style="2" bestFit="1" customWidth="1"/>
    <col min="54" max="59" width="15.5703125" style="2" bestFit="1" customWidth="1"/>
  </cols>
  <sheetData>
    <row r="1" spans="1:59" ht="15.75" thickBot="1" x14ac:dyDescent="0.3">
      <c r="A1" s="197"/>
      <c r="B1" s="199"/>
      <c r="C1" s="197" t="s">
        <v>130</v>
      </c>
      <c r="D1" s="198"/>
      <c r="E1" s="198"/>
      <c r="F1" s="198"/>
      <c r="G1" s="198"/>
      <c r="H1" s="199"/>
      <c r="I1" s="7" t="s">
        <v>175</v>
      </c>
      <c r="J1" s="197" t="s">
        <v>176</v>
      </c>
      <c r="K1" s="198"/>
      <c r="L1" s="198"/>
      <c r="M1" s="198"/>
      <c r="N1" s="198"/>
      <c r="O1" s="199"/>
      <c r="P1" s="197" t="s">
        <v>133</v>
      </c>
      <c r="Q1" s="199"/>
      <c r="R1" s="197" t="s">
        <v>134</v>
      </c>
      <c r="S1" s="198"/>
      <c r="T1" s="198"/>
      <c r="U1" s="198"/>
      <c r="V1" s="198"/>
      <c r="W1" s="199"/>
      <c r="X1" s="197" t="s">
        <v>135</v>
      </c>
      <c r="Y1" s="198"/>
      <c r="Z1" s="198"/>
      <c r="AA1" s="198"/>
      <c r="AB1" s="198"/>
      <c r="AC1" s="199"/>
      <c r="AD1" s="197" t="s">
        <v>136</v>
      </c>
      <c r="AE1" s="198"/>
      <c r="AF1" s="198"/>
      <c r="AG1" s="198"/>
      <c r="AH1" s="198"/>
      <c r="AI1" s="199"/>
      <c r="AJ1" s="197" t="s">
        <v>177</v>
      </c>
      <c r="AK1" s="198"/>
      <c r="AL1" s="198"/>
      <c r="AM1" s="198"/>
      <c r="AN1" s="198"/>
      <c r="AO1" s="199"/>
      <c r="AP1" s="197" t="s">
        <v>138</v>
      </c>
      <c r="AQ1" s="198"/>
      <c r="AR1" s="198"/>
      <c r="AS1" s="198"/>
      <c r="AT1" s="198"/>
      <c r="AU1" s="199"/>
      <c r="AV1" s="197" t="s">
        <v>139</v>
      </c>
      <c r="AW1" s="198"/>
      <c r="AX1" s="198"/>
      <c r="AY1" s="198"/>
      <c r="AZ1" s="198"/>
      <c r="BA1" s="199"/>
      <c r="BB1" s="197" t="s">
        <v>140</v>
      </c>
      <c r="BC1" s="198"/>
      <c r="BD1" s="198"/>
      <c r="BE1" s="198"/>
      <c r="BF1" s="198"/>
      <c r="BG1" s="199"/>
    </row>
    <row r="2" spans="1:59" ht="15.75" thickBot="1" x14ac:dyDescent="0.3">
      <c r="A2" s="7" t="s">
        <v>141</v>
      </c>
      <c r="B2" s="7" t="s">
        <v>142</v>
      </c>
      <c r="C2" s="7">
        <v>2025</v>
      </c>
      <c r="D2" s="7">
        <v>2026</v>
      </c>
      <c r="E2" s="7">
        <v>2027</v>
      </c>
      <c r="F2" s="7">
        <v>2028</v>
      </c>
      <c r="G2" s="7">
        <v>2029</v>
      </c>
      <c r="H2" s="7">
        <v>2030</v>
      </c>
      <c r="I2" s="7" t="s">
        <v>143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 t="s">
        <v>144</v>
      </c>
      <c r="Q2" s="7" t="s">
        <v>145</v>
      </c>
      <c r="R2" s="7">
        <v>2025</v>
      </c>
      <c r="S2" s="7">
        <v>2026</v>
      </c>
      <c r="T2" s="7">
        <v>2027</v>
      </c>
      <c r="U2" s="7">
        <v>2028</v>
      </c>
      <c r="V2" s="7">
        <v>2029</v>
      </c>
      <c r="W2" s="7">
        <v>2030</v>
      </c>
      <c r="X2" s="7">
        <v>2025</v>
      </c>
      <c r="Y2" s="7">
        <v>2026</v>
      </c>
      <c r="Z2" s="7">
        <v>2027</v>
      </c>
      <c r="AA2" s="7">
        <v>2028</v>
      </c>
      <c r="AB2" s="7">
        <v>2029</v>
      </c>
      <c r="AC2" s="7">
        <v>2030</v>
      </c>
      <c r="AD2" s="7">
        <v>2025</v>
      </c>
      <c r="AE2" s="7">
        <v>2026</v>
      </c>
      <c r="AF2" s="7">
        <v>2027</v>
      </c>
      <c r="AG2" s="7">
        <v>2028</v>
      </c>
      <c r="AH2" s="7">
        <v>2029</v>
      </c>
      <c r="AI2" s="7">
        <v>2030</v>
      </c>
      <c r="AJ2" s="7">
        <v>2025</v>
      </c>
      <c r="AK2" s="7">
        <v>2026</v>
      </c>
      <c r="AL2" s="7">
        <v>2027</v>
      </c>
      <c r="AM2" s="7">
        <v>2028</v>
      </c>
      <c r="AN2" s="7">
        <v>2029</v>
      </c>
      <c r="AO2" s="7">
        <v>2030</v>
      </c>
      <c r="AP2" s="7">
        <v>2025</v>
      </c>
      <c r="AQ2" s="7">
        <v>2026</v>
      </c>
      <c r="AR2" s="7">
        <v>2027</v>
      </c>
      <c r="AS2" s="7">
        <v>2028</v>
      </c>
      <c r="AT2" s="7">
        <v>2029</v>
      </c>
      <c r="AU2" s="7">
        <v>2030</v>
      </c>
      <c r="AV2" s="7">
        <v>2025</v>
      </c>
      <c r="AW2" s="7">
        <v>2026</v>
      </c>
      <c r="AX2" s="7">
        <v>2027</v>
      </c>
      <c r="AY2" s="7">
        <v>2028</v>
      </c>
      <c r="AZ2" s="7">
        <v>2029</v>
      </c>
      <c r="BA2" s="7">
        <v>2030</v>
      </c>
      <c r="BB2" s="7">
        <v>2025</v>
      </c>
      <c r="BC2" s="7">
        <v>2026</v>
      </c>
      <c r="BD2" s="7">
        <v>2027</v>
      </c>
      <c r="BE2" s="7">
        <v>2028</v>
      </c>
      <c r="BF2" s="7">
        <v>2029</v>
      </c>
      <c r="BG2" s="7">
        <v>2030</v>
      </c>
    </row>
    <row r="3" spans="1:59" ht="15.75" thickBot="1" x14ac:dyDescent="0.3">
      <c r="A3" s="7" t="s">
        <v>146</v>
      </c>
      <c r="B3" s="7"/>
      <c r="C3" s="33">
        <v>0.93</v>
      </c>
      <c r="D3" s="33">
        <v>0.93</v>
      </c>
      <c r="E3" s="33">
        <v>0.93</v>
      </c>
      <c r="F3" s="33">
        <v>0.93</v>
      </c>
      <c r="G3" s="33">
        <v>0.93</v>
      </c>
      <c r="H3" s="33">
        <v>0.93</v>
      </c>
      <c r="I3" s="34">
        <v>14</v>
      </c>
      <c r="J3" s="35">
        <v>9.7899999999999991</v>
      </c>
      <c r="K3" s="35">
        <v>7.48</v>
      </c>
      <c r="L3" s="35">
        <v>7.72</v>
      </c>
      <c r="M3" s="35">
        <v>8</v>
      </c>
      <c r="N3" s="35">
        <v>8.2899999999999991</v>
      </c>
      <c r="O3" s="35">
        <v>8.44</v>
      </c>
      <c r="P3" s="36">
        <v>59.67</v>
      </c>
      <c r="Q3" s="36">
        <v>25.73</v>
      </c>
      <c r="R3" s="37">
        <v>59.67</v>
      </c>
      <c r="S3" s="37">
        <v>59.67</v>
      </c>
      <c r="T3" s="37">
        <v>59.67</v>
      </c>
      <c r="U3" s="37">
        <v>59.67</v>
      </c>
      <c r="V3" s="37">
        <v>59.67</v>
      </c>
      <c r="W3" s="37">
        <v>59.67</v>
      </c>
      <c r="X3" s="38" t="s">
        <v>147</v>
      </c>
      <c r="Y3" s="38" t="s">
        <v>147</v>
      </c>
      <c r="Z3" s="38" t="s">
        <v>147</v>
      </c>
      <c r="AA3" s="38" t="s">
        <v>147</v>
      </c>
      <c r="AB3" s="38" t="s">
        <v>147</v>
      </c>
      <c r="AC3" s="38" t="s">
        <v>147</v>
      </c>
      <c r="AD3" s="39" t="s">
        <v>147</v>
      </c>
      <c r="AE3" s="39" t="s">
        <v>147</v>
      </c>
      <c r="AF3" s="39" t="s">
        <v>147</v>
      </c>
      <c r="AG3" s="39" t="s">
        <v>147</v>
      </c>
      <c r="AH3" s="39" t="s">
        <v>147</v>
      </c>
      <c r="AI3" s="39" t="s">
        <v>147</v>
      </c>
      <c r="AJ3" s="40">
        <v>28517.7</v>
      </c>
      <c r="AK3" s="40">
        <v>24066.03</v>
      </c>
      <c r="AL3" s="40">
        <v>24944.12</v>
      </c>
      <c r="AM3" s="40">
        <v>25878.03</v>
      </c>
      <c r="AN3" s="40">
        <v>26763.38</v>
      </c>
      <c r="AO3" s="40">
        <v>27476.82</v>
      </c>
      <c r="AP3" s="41">
        <v>41007.019999999997</v>
      </c>
      <c r="AQ3" s="41">
        <v>45480.45</v>
      </c>
      <c r="AR3" s="41">
        <v>45542.49</v>
      </c>
      <c r="AS3" s="41">
        <v>45643.99</v>
      </c>
      <c r="AT3" s="41">
        <v>45467.3</v>
      </c>
      <c r="AU3" s="41">
        <v>45869.58</v>
      </c>
      <c r="AV3" s="42">
        <v>64087.199999999997</v>
      </c>
      <c r="AW3" s="42">
        <v>71076</v>
      </c>
      <c r="AX3" s="42">
        <v>71173.2</v>
      </c>
      <c r="AY3" s="42">
        <v>71331.600000000006</v>
      </c>
      <c r="AZ3" s="42">
        <v>71055.600000000006</v>
      </c>
      <c r="BA3" s="42">
        <v>71684.399999999994</v>
      </c>
      <c r="BB3" s="43">
        <v>38804221.520000003</v>
      </c>
      <c r="BC3" s="43">
        <v>29400079</v>
      </c>
      <c r="BD3" s="43">
        <v>31096651</v>
      </c>
      <c r="BE3" s="43">
        <v>32816322</v>
      </c>
      <c r="BF3" s="43">
        <v>34534834</v>
      </c>
      <c r="BG3" s="43">
        <v>36635151</v>
      </c>
    </row>
    <row r="4" spans="1:59" ht="15.75" thickBot="1" x14ac:dyDescent="0.3">
      <c r="A4" s="44" t="s">
        <v>148</v>
      </c>
      <c r="B4" s="44" t="s">
        <v>149</v>
      </c>
      <c r="C4" s="45">
        <v>1</v>
      </c>
      <c r="D4" s="45">
        <v>1</v>
      </c>
      <c r="E4" s="45">
        <v>1</v>
      </c>
      <c r="F4" s="45">
        <v>1</v>
      </c>
      <c r="G4" s="45">
        <v>1</v>
      </c>
      <c r="H4" s="45">
        <v>1</v>
      </c>
      <c r="I4" s="46">
        <v>1</v>
      </c>
      <c r="J4" s="47">
        <v>0.89</v>
      </c>
      <c r="K4" s="47">
        <v>0.57999999999999996</v>
      </c>
      <c r="L4" s="47">
        <v>0.55000000000000004</v>
      </c>
      <c r="M4" s="47">
        <v>0.52</v>
      </c>
      <c r="N4" s="47">
        <v>0.5</v>
      </c>
      <c r="O4" s="47">
        <v>0.48</v>
      </c>
      <c r="P4" s="48">
        <v>65</v>
      </c>
      <c r="Q4" s="48">
        <v>35</v>
      </c>
      <c r="R4" s="49">
        <v>65</v>
      </c>
      <c r="S4" s="49">
        <v>65</v>
      </c>
      <c r="T4" s="49">
        <v>65</v>
      </c>
      <c r="U4" s="49">
        <v>65</v>
      </c>
      <c r="V4" s="49">
        <v>65</v>
      </c>
      <c r="W4" s="49">
        <v>65</v>
      </c>
      <c r="X4" s="50">
        <v>88.81</v>
      </c>
      <c r="Y4" s="50">
        <v>57.62</v>
      </c>
      <c r="Z4" s="50">
        <v>54.98</v>
      </c>
      <c r="AA4" s="50">
        <v>52.38</v>
      </c>
      <c r="AB4" s="50">
        <v>50.13</v>
      </c>
      <c r="AC4" s="50">
        <v>48.1</v>
      </c>
      <c r="AD4" s="51">
        <v>57.72</v>
      </c>
      <c r="AE4" s="51">
        <v>37.450000000000003</v>
      </c>
      <c r="AF4" s="51">
        <v>35.74</v>
      </c>
      <c r="AG4" s="51">
        <v>34.049999999999997</v>
      </c>
      <c r="AH4" s="51">
        <v>32.590000000000003</v>
      </c>
      <c r="AI4" s="51">
        <v>31.27</v>
      </c>
      <c r="AJ4" s="52">
        <v>2500.11</v>
      </c>
      <c r="AK4" s="52">
        <v>1795.16</v>
      </c>
      <c r="AL4" s="52">
        <v>1715.72</v>
      </c>
      <c r="AM4" s="52">
        <v>1637.87</v>
      </c>
      <c r="AN4" s="52">
        <v>1561.64</v>
      </c>
      <c r="AO4" s="52">
        <v>1511.87</v>
      </c>
      <c r="AP4" s="53">
        <v>2815.22</v>
      </c>
      <c r="AQ4" s="53">
        <v>3115.45</v>
      </c>
      <c r="AR4" s="53">
        <v>3120.39</v>
      </c>
      <c r="AS4" s="53">
        <v>3126.7</v>
      </c>
      <c r="AT4" s="53">
        <v>3115</v>
      </c>
      <c r="AU4" s="53">
        <v>3142.88</v>
      </c>
      <c r="AV4" s="54">
        <v>4331.1000000000004</v>
      </c>
      <c r="AW4" s="54">
        <v>4793</v>
      </c>
      <c r="AX4" s="54">
        <v>4800.6000000000004</v>
      </c>
      <c r="AY4" s="54">
        <v>4810.3</v>
      </c>
      <c r="AZ4" s="54">
        <v>4792.3</v>
      </c>
      <c r="BA4" s="54">
        <v>4835.2</v>
      </c>
      <c r="BB4" s="55">
        <v>4941702</v>
      </c>
      <c r="BC4" s="55">
        <v>3837887</v>
      </c>
      <c r="BD4" s="55">
        <v>3696814</v>
      </c>
      <c r="BE4" s="55">
        <v>3555741</v>
      </c>
      <c r="BF4" s="55">
        <v>3414668</v>
      </c>
      <c r="BG4" s="55">
        <v>3344131</v>
      </c>
    </row>
    <row r="5" spans="1:59" ht="15.75" thickBot="1" x14ac:dyDescent="0.3">
      <c r="A5" s="44" t="s">
        <v>150</v>
      </c>
      <c r="B5" s="44" t="s">
        <v>151</v>
      </c>
      <c r="C5" s="45">
        <v>1</v>
      </c>
      <c r="D5" s="45">
        <v>1</v>
      </c>
      <c r="E5" s="45">
        <v>1</v>
      </c>
      <c r="F5" s="45">
        <v>1</v>
      </c>
      <c r="G5" s="45">
        <v>1</v>
      </c>
      <c r="H5" s="45">
        <v>1</v>
      </c>
      <c r="I5" s="46">
        <v>1</v>
      </c>
      <c r="J5" s="47">
        <v>0.56999999999999995</v>
      </c>
      <c r="K5" s="47">
        <v>0.48</v>
      </c>
      <c r="L5" s="47">
        <v>0.83</v>
      </c>
      <c r="M5" s="47">
        <v>1.1599999999999999</v>
      </c>
      <c r="N5" s="47">
        <v>1.49</v>
      </c>
      <c r="O5" s="47">
        <v>1.79</v>
      </c>
      <c r="P5" s="48">
        <v>65</v>
      </c>
      <c r="Q5" s="48">
        <v>28</v>
      </c>
      <c r="R5" s="49">
        <v>65</v>
      </c>
      <c r="S5" s="49">
        <v>65</v>
      </c>
      <c r="T5" s="49">
        <v>65</v>
      </c>
      <c r="U5" s="49">
        <v>65</v>
      </c>
      <c r="V5" s="49">
        <v>65</v>
      </c>
      <c r="W5" s="49">
        <v>65</v>
      </c>
      <c r="X5" s="50">
        <v>57.36</v>
      </c>
      <c r="Y5" s="50">
        <v>47.95</v>
      </c>
      <c r="Z5" s="50">
        <v>82.67</v>
      </c>
      <c r="AA5" s="50">
        <v>116.13</v>
      </c>
      <c r="AB5" s="50">
        <v>149.22</v>
      </c>
      <c r="AC5" s="50">
        <v>179.16</v>
      </c>
      <c r="AD5" s="51">
        <v>37.28</v>
      </c>
      <c r="AE5" s="51">
        <v>31.17</v>
      </c>
      <c r="AF5" s="51">
        <v>53.73</v>
      </c>
      <c r="AG5" s="51">
        <v>75.48</v>
      </c>
      <c r="AH5" s="51">
        <v>96.99</v>
      </c>
      <c r="AI5" s="51">
        <v>116.46</v>
      </c>
      <c r="AJ5" s="52">
        <v>1614.68</v>
      </c>
      <c r="AK5" s="52">
        <v>1493.93</v>
      </c>
      <c r="AL5" s="52">
        <v>2579.6</v>
      </c>
      <c r="AM5" s="52">
        <v>3631</v>
      </c>
      <c r="AN5" s="52">
        <v>4648.08</v>
      </c>
      <c r="AO5" s="52">
        <v>5630.91</v>
      </c>
      <c r="AP5" s="53">
        <v>2815.22</v>
      </c>
      <c r="AQ5" s="53">
        <v>3115.45</v>
      </c>
      <c r="AR5" s="53">
        <v>3120.39</v>
      </c>
      <c r="AS5" s="53">
        <v>3126.7</v>
      </c>
      <c r="AT5" s="53">
        <v>3115</v>
      </c>
      <c r="AU5" s="53">
        <v>3142.88</v>
      </c>
      <c r="AV5" s="54">
        <v>4331.1000000000004</v>
      </c>
      <c r="AW5" s="54">
        <v>4793</v>
      </c>
      <c r="AX5" s="54">
        <v>4800.6000000000004</v>
      </c>
      <c r="AY5" s="54">
        <v>4810.3</v>
      </c>
      <c r="AZ5" s="54">
        <v>4792.3</v>
      </c>
      <c r="BA5" s="54">
        <v>4835.2</v>
      </c>
      <c r="BB5" s="55">
        <v>2008539</v>
      </c>
      <c r="BC5" s="55">
        <v>1967191</v>
      </c>
      <c r="BD5" s="55">
        <v>4415821</v>
      </c>
      <c r="BE5" s="55">
        <v>6864451</v>
      </c>
      <c r="BF5" s="55">
        <v>9313081</v>
      </c>
      <c r="BG5" s="55">
        <v>11761712</v>
      </c>
    </row>
    <row r="6" spans="1:59" ht="15.75" thickBot="1" x14ac:dyDescent="0.3">
      <c r="A6" s="44" t="s">
        <v>152</v>
      </c>
      <c r="B6" s="44" t="s">
        <v>153</v>
      </c>
      <c r="C6" s="45">
        <v>1</v>
      </c>
      <c r="D6" s="45">
        <v>1</v>
      </c>
      <c r="E6" s="45">
        <v>1</v>
      </c>
      <c r="F6" s="45">
        <v>1</v>
      </c>
      <c r="G6" s="45">
        <v>1</v>
      </c>
      <c r="H6" s="45">
        <v>1</v>
      </c>
      <c r="I6" s="46">
        <v>1</v>
      </c>
      <c r="J6" s="47">
        <v>0.4</v>
      </c>
      <c r="K6" s="47">
        <v>0.41</v>
      </c>
      <c r="L6" s="47">
        <v>0.4</v>
      </c>
      <c r="M6" s="47">
        <v>0.39</v>
      </c>
      <c r="N6" s="47">
        <v>0.39</v>
      </c>
      <c r="O6" s="47">
        <v>0.38</v>
      </c>
      <c r="P6" s="48">
        <v>60</v>
      </c>
      <c r="Q6" s="48">
        <v>14</v>
      </c>
      <c r="R6" s="49">
        <v>60</v>
      </c>
      <c r="S6" s="49">
        <v>60</v>
      </c>
      <c r="T6" s="49">
        <v>60</v>
      </c>
      <c r="U6" s="49">
        <v>60</v>
      </c>
      <c r="V6" s="49">
        <v>60</v>
      </c>
      <c r="W6" s="49">
        <v>60</v>
      </c>
      <c r="X6" s="50">
        <v>39.520000000000003</v>
      </c>
      <c r="Y6" s="50">
        <v>40.71</v>
      </c>
      <c r="Z6" s="50">
        <v>40.03</v>
      </c>
      <c r="AA6" s="50">
        <v>39.33</v>
      </c>
      <c r="AB6" s="50">
        <v>38.86</v>
      </c>
      <c r="AC6" s="50">
        <v>37.9</v>
      </c>
      <c r="AD6" s="51">
        <v>23.71</v>
      </c>
      <c r="AE6" s="51">
        <v>24.43</v>
      </c>
      <c r="AF6" s="51">
        <v>24.02</v>
      </c>
      <c r="AG6" s="51">
        <v>23.6</v>
      </c>
      <c r="AH6" s="51">
        <v>23.32</v>
      </c>
      <c r="AI6" s="51">
        <v>22.74</v>
      </c>
      <c r="AJ6" s="52">
        <v>1026.9000000000001</v>
      </c>
      <c r="AK6" s="52">
        <v>1170.82</v>
      </c>
      <c r="AL6" s="52">
        <v>1152.98</v>
      </c>
      <c r="AM6" s="52">
        <v>1135.1600000000001</v>
      </c>
      <c r="AN6" s="52">
        <v>1117.33</v>
      </c>
      <c r="AO6" s="52">
        <v>1099.5</v>
      </c>
      <c r="AP6" s="53">
        <v>2598.66</v>
      </c>
      <c r="AQ6" s="53">
        <v>2875.8</v>
      </c>
      <c r="AR6" s="53">
        <v>2880.36</v>
      </c>
      <c r="AS6" s="53">
        <v>2886.18</v>
      </c>
      <c r="AT6" s="53">
        <v>2875.38</v>
      </c>
      <c r="AU6" s="53">
        <v>2901.12</v>
      </c>
      <c r="AV6" s="54">
        <v>4331.1000000000004</v>
      </c>
      <c r="AW6" s="54">
        <v>4793</v>
      </c>
      <c r="AX6" s="54">
        <v>4800.6000000000004</v>
      </c>
      <c r="AY6" s="54">
        <v>4810.3</v>
      </c>
      <c r="AZ6" s="54">
        <v>4792.3</v>
      </c>
      <c r="BA6" s="54">
        <v>4835.2</v>
      </c>
      <c r="BB6" s="55">
        <v>774700</v>
      </c>
      <c r="BC6" s="55">
        <v>778049</v>
      </c>
      <c r="BD6" s="55">
        <v>778049</v>
      </c>
      <c r="BE6" s="55">
        <v>778049</v>
      </c>
      <c r="BF6" s="55">
        <v>778049</v>
      </c>
      <c r="BG6" s="55">
        <v>778049</v>
      </c>
    </row>
    <row r="7" spans="1:59" ht="15.75" thickBot="1" x14ac:dyDescent="0.3">
      <c r="A7" s="44" t="s">
        <v>154</v>
      </c>
      <c r="B7" s="44" t="s">
        <v>91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6">
        <v>1</v>
      </c>
      <c r="J7" s="47">
        <v>1.56</v>
      </c>
      <c r="K7" s="47">
        <v>1.66</v>
      </c>
      <c r="L7" s="47">
        <v>1.73</v>
      </c>
      <c r="M7" s="47">
        <v>1.84</v>
      </c>
      <c r="N7" s="47">
        <v>1.94</v>
      </c>
      <c r="O7" s="47">
        <v>1.94</v>
      </c>
      <c r="P7" s="48">
        <v>60</v>
      </c>
      <c r="Q7" s="48">
        <v>29</v>
      </c>
      <c r="R7" s="49">
        <v>60</v>
      </c>
      <c r="S7" s="49">
        <v>60</v>
      </c>
      <c r="T7" s="49">
        <v>60</v>
      </c>
      <c r="U7" s="49">
        <v>60</v>
      </c>
      <c r="V7" s="49">
        <v>60</v>
      </c>
      <c r="W7" s="49">
        <v>60</v>
      </c>
      <c r="X7" s="50">
        <v>156.04</v>
      </c>
      <c r="Y7" s="50">
        <v>166.48</v>
      </c>
      <c r="Z7" s="50">
        <v>173.12</v>
      </c>
      <c r="AA7" s="50">
        <v>183.56</v>
      </c>
      <c r="AB7" s="50">
        <v>194.4</v>
      </c>
      <c r="AC7" s="50">
        <v>193.62</v>
      </c>
      <c r="AD7" s="51">
        <v>93.62</v>
      </c>
      <c r="AE7" s="51">
        <v>99.89</v>
      </c>
      <c r="AF7" s="51">
        <v>103.87</v>
      </c>
      <c r="AG7" s="51">
        <v>110.14</v>
      </c>
      <c r="AH7" s="51">
        <v>116.64</v>
      </c>
      <c r="AI7" s="51">
        <v>116.17</v>
      </c>
      <c r="AJ7" s="52">
        <v>4054.91</v>
      </c>
      <c r="AK7" s="52">
        <v>4787.6400000000003</v>
      </c>
      <c r="AL7" s="52">
        <v>4986.3999999999996</v>
      </c>
      <c r="AM7" s="52">
        <v>5298</v>
      </c>
      <c r="AN7" s="52">
        <v>5589.77</v>
      </c>
      <c r="AO7" s="52">
        <v>5617.06</v>
      </c>
      <c r="AP7" s="53">
        <v>2598.66</v>
      </c>
      <c r="AQ7" s="53">
        <v>2875.8</v>
      </c>
      <c r="AR7" s="53">
        <v>2880.36</v>
      </c>
      <c r="AS7" s="53">
        <v>2886.18</v>
      </c>
      <c r="AT7" s="53">
        <v>2875.38</v>
      </c>
      <c r="AU7" s="53">
        <v>2901.12</v>
      </c>
      <c r="AV7" s="54">
        <v>4331.1000000000004</v>
      </c>
      <c r="AW7" s="54">
        <v>4793</v>
      </c>
      <c r="AX7" s="54">
        <v>4800.6000000000004</v>
      </c>
      <c r="AY7" s="54">
        <v>4810.3</v>
      </c>
      <c r="AZ7" s="54">
        <v>4792.3</v>
      </c>
      <c r="BA7" s="54">
        <v>4835.2</v>
      </c>
      <c r="BB7" s="55">
        <v>1689890</v>
      </c>
      <c r="BC7" s="55">
        <v>1985592</v>
      </c>
      <c r="BD7" s="55">
        <v>2086416</v>
      </c>
      <c r="BE7" s="55">
        <v>2232947</v>
      </c>
      <c r="BF7" s="55">
        <v>2376547</v>
      </c>
      <c r="BG7" s="55">
        <v>2421884</v>
      </c>
    </row>
    <row r="8" spans="1:59" ht="15.75" thickBot="1" x14ac:dyDescent="0.3">
      <c r="A8" s="44" t="s">
        <v>155</v>
      </c>
      <c r="B8" s="44" t="s">
        <v>156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6">
        <v>1</v>
      </c>
      <c r="J8" s="47">
        <v>1.1399999999999999</v>
      </c>
      <c r="K8" s="47">
        <v>0.81</v>
      </c>
      <c r="L8" s="47">
        <v>0.78</v>
      </c>
      <c r="M8" s="47">
        <v>0.75</v>
      </c>
      <c r="N8" s="47">
        <v>0.72</v>
      </c>
      <c r="O8" s="47">
        <v>0.7</v>
      </c>
      <c r="P8" s="48">
        <v>65</v>
      </c>
      <c r="Q8" s="48">
        <v>41</v>
      </c>
      <c r="R8" s="49">
        <v>65</v>
      </c>
      <c r="S8" s="49">
        <v>65</v>
      </c>
      <c r="T8" s="49">
        <v>65</v>
      </c>
      <c r="U8" s="49">
        <v>65</v>
      </c>
      <c r="V8" s="49">
        <v>65</v>
      </c>
      <c r="W8" s="49">
        <v>65</v>
      </c>
      <c r="X8" s="50">
        <v>113.93</v>
      </c>
      <c r="Y8" s="50">
        <v>80.61</v>
      </c>
      <c r="Z8" s="50">
        <v>77.66</v>
      </c>
      <c r="AA8" s="50">
        <v>74.73</v>
      </c>
      <c r="AB8" s="50">
        <v>72.28</v>
      </c>
      <c r="AC8" s="50">
        <v>69.739999999999995</v>
      </c>
      <c r="AD8" s="51">
        <v>74.05</v>
      </c>
      <c r="AE8" s="51">
        <v>52.4</v>
      </c>
      <c r="AF8" s="51">
        <v>50.48</v>
      </c>
      <c r="AG8" s="51">
        <v>48.58</v>
      </c>
      <c r="AH8" s="51">
        <v>46.98</v>
      </c>
      <c r="AI8" s="51">
        <v>45.33</v>
      </c>
      <c r="AJ8" s="52">
        <v>3207.35</v>
      </c>
      <c r="AK8" s="52">
        <v>2511.5</v>
      </c>
      <c r="AL8" s="52">
        <v>2423.2800000000002</v>
      </c>
      <c r="AM8" s="52">
        <v>2336.61</v>
      </c>
      <c r="AN8" s="52">
        <v>2251.52</v>
      </c>
      <c r="AO8" s="52">
        <v>2191.7800000000002</v>
      </c>
      <c r="AP8" s="53">
        <v>2815.22</v>
      </c>
      <c r="AQ8" s="53">
        <v>3115.45</v>
      </c>
      <c r="AR8" s="53">
        <v>3120.39</v>
      </c>
      <c r="AS8" s="53">
        <v>3126.7</v>
      </c>
      <c r="AT8" s="53">
        <v>3115</v>
      </c>
      <c r="AU8" s="53">
        <v>3142.88</v>
      </c>
      <c r="AV8" s="54">
        <v>4331.1000000000004</v>
      </c>
      <c r="AW8" s="54">
        <v>4793</v>
      </c>
      <c r="AX8" s="54">
        <v>4800.6000000000004</v>
      </c>
      <c r="AY8" s="54">
        <v>4810.3</v>
      </c>
      <c r="AZ8" s="54">
        <v>4792.3</v>
      </c>
      <c r="BA8" s="54">
        <v>4835.2</v>
      </c>
      <c r="BB8" s="55">
        <v>8181781</v>
      </c>
      <c r="BC8" s="55">
        <v>5655789</v>
      </c>
      <c r="BD8" s="55">
        <v>5575131</v>
      </c>
      <c r="BE8" s="55">
        <v>5494477</v>
      </c>
      <c r="BF8" s="55">
        <v>5413819</v>
      </c>
      <c r="BG8" s="55">
        <v>5373489</v>
      </c>
    </row>
    <row r="9" spans="1:59" ht="15.75" thickBot="1" x14ac:dyDescent="0.3">
      <c r="A9" s="44" t="s">
        <v>157</v>
      </c>
      <c r="B9" s="44" t="s">
        <v>158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6">
        <v>1</v>
      </c>
      <c r="J9" s="47">
        <v>0.82</v>
      </c>
      <c r="K9" s="47">
        <v>0.21</v>
      </c>
      <c r="L9" s="47">
        <v>0.18</v>
      </c>
      <c r="M9" s="47">
        <v>0.16</v>
      </c>
      <c r="N9" s="47">
        <v>0.13</v>
      </c>
      <c r="O9" s="47">
        <v>0.11</v>
      </c>
      <c r="P9" s="48">
        <v>65</v>
      </c>
      <c r="Q9" s="48">
        <v>1</v>
      </c>
      <c r="R9" s="49">
        <v>65</v>
      </c>
      <c r="S9" s="49">
        <v>65</v>
      </c>
      <c r="T9" s="49">
        <v>65</v>
      </c>
      <c r="U9" s="49">
        <v>65</v>
      </c>
      <c r="V9" s="49">
        <v>65</v>
      </c>
      <c r="W9" s="49">
        <v>65</v>
      </c>
      <c r="X9" s="50">
        <v>81.5</v>
      </c>
      <c r="Y9" s="50">
        <v>21.41</v>
      </c>
      <c r="Z9" s="50">
        <v>18.43</v>
      </c>
      <c r="AA9" s="50">
        <v>15.53</v>
      </c>
      <c r="AB9" s="50">
        <v>12.8</v>
      </c>
      <c r="AC9" s="50">
        <v>11.25</v>
      </c>
      <c r="AD9" s="51">
        <v>52.98</v>
      </c>
      <c r="AE9" s="51">
        <v>13.91</v>
      </c>
      <c r="AF9" s="51">
        <v>11.98</v>
      </c>
      <c r="AG9" s="51">
        <v>10.1</v>
      </c>
      <c r="AH9" s="51">
        <v>8.32</v>
      </c>
      <c r="AI9" s="51">
        <v>7.31</v>
      </c>
      <c r="AJ9" s="52">
        <v>2294.44</v>
      </c>
      <c r="AK9" s="52">
        <v>666.9</v>
      </c>
      <c r="AL9" s="52">
        <v>574.99</v>
      </c>
      <c r="AM9" s="52">
        <v>485.63</v>
      </c>
      <c r="AN9" s="52">
        <v>398.78</v>
      </c>
      <c r="AO9" s="52">
        <v>353.44</v>
      </c>
      <c r="AP9" s="53">
        <v>2815.22</v>
      </c>
      <c r="AQ9" s="53">
        <v>3115.45</v>
      </c>
      <c r="AR9" s="53">
        <v>3120.39</v>
      </c>
      <c r="AS9" s="53">
        <v>3126.7</v>
      </c>
      <c r="AT9" s="53">
        <v>3115</v>
      </c>
      <c r="AU9" s="53">
        <v>3142.88</v>
      </c>
      <c r="AV9" s="54">
        <v>4331.1000000000004</v>
      </c>
      <c r="AW9" s="54">
        <v>4793</v>
      </c>
      <c r="AX9" s="54">
        <v>4800.6000000000004</v>
      </c>
      <c r="AY9" s="54">
        <v>4810.3</v>
      </c>
      <c r="AZ9" s="54">
        <v>4792.3</v>
      </c>
      <c r="BA9" s="54">
        <v>4835.2</v>
      </c>
      <c r="BB9" s="55">
        <v>3166037</v>
      </c>
      <c r="BC9" s="55">
        <v>1002215</v>
      </c>
      <c r="BD9" s="55">
        <v>894795</v>
      </c>
      <c r="BE9" s="55">
        <v>787376</v>
      </c>
      <c r="BF9" s="55">
        <v>679956</v>
      </c>
      <c r="BG9" s="55">
        <v>626246</v>
      </c>
    </row>
    <row r="10" spans="1:59" ht="15.75" thickBot="1" x14ac:dyDescent="0.3">
      <c r="A10" s="44" t="s">
        <v>159</v>
      </c>
      <c r="B10" s="44" t="s">
        <v>160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6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8">
        <v>0</v>
      </c>
      <c r="Q10" s="48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X10" s="50" t="s">
        <v>147</v>
      </c>
      <c r="Y10" s="50" t="s">
        <v>147</v>
      </c>
      <c r="Z10" s="50" t="s">
        <v>147</v>
      </c>
      <c r="AA10" s="50" t="s">
        <v>147</v>
      </c>
      <c r="AB10" s="50" t="s">
        <v>147</v>
      </c>
      <c r="AC10" s="50" t="s">
        <v>147</v>
      </c>
      <c r="AD10" s="51" t="s">
        <v>147</v>
      </c>
      <c r="AE10" s="51" t="s">
        <v>147</v>
      </c>
      <c r="AF10" s="51" t="s">
        <v>147</v>
      </c>
      <c r="AG10" s="51" t="s">
        <v>147</v>
      </c>
      <c r="AH10" s="51" t="s">
        <v>147</v>
      </c>
      <c r="AI10" s="51" t="s">
        <v>147</v>
      </c>
      <c r="AJ10" s="52">
        <v>0</v>
      </c>
      <c r="AK10" s="52">
        <v>0</v>
      </c>
      <c r="AL10" s="52">
        <v>0</v>
      </c>
      <c r="AM10" s="52">
        <v>0</v>
      </c>
      <c r="AN10" s="52">
        <v>0</v>
      </c>
      <c r="AO10" s="52">
        <v>0</v>
      </c>
      <c r="AP10" s="53">
        <v>0</v>
      </c>
      <c r="AQ10" s="53">
        <v>0</v>
      </c>
      <c r="AR10" s="53">
        <v>0</v>
      </c>
      <c r="AS10" s="53">
        <v>0</v>
      </c>
      <c r="AT10" s="53">
        <v>0</v>
      </c>
      <c r="AU10" s="53">
        <v>0</v>
      </c>
      <c r="AV10" s="54">
        <v>0</v>
      </c>
      <c r="AW10" s="54">
        <v>0</v>
      </c>
      <c r="AX10" s="54">
        <v>0</v>
      </c>
      <c r="AY10" s="54">
        <v>0</v>
      </c>
      <c r="AZ10" s="54">
        <v>0</v>
      </c>
      <c r="BA10" s="54">
        <v>0</v>
      </c>
      <c r="BB10" s="55">
        <v>0</v>
      </c>
      <c r="BC10" s="55">
        <v>0</v>
      </c>
      <c r="BD10" s="55">
        <v>0</v>
      </c>
      <c r="BE10" s="55">
        <v>0</v>
      </c>
      <c r="BF10" s="55">
        <v>0</v>
      </c>
      <c r="BG10" s="55">
        <v>0</v>
      </c>
    </row>
    <row r="11" spans="1:59" ht="15.75" thickBot="1" x14ac:dyDescent="0.3">
      <c r="A11" s="44" t="s">
        <v>161</v>
      </c>
      <c r="B11" s="44" t="s">
        <v>162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6">
        <v>1</v>
      </c>
      <c r="J11" s="47">
        <v>1.02</v>
      </c>
      <c r="K11" s="47">
        <v>0.54</v>
      </c>
      <c r="L11" s="47">
        <v>0.49</v>
      </c>
      <c r="M11" s="47">
        <v>0.45</v>
      </c>
      <c r="N11" s="47">
        <v>0.41</v>
      </c>
      <c r="O11" s="47">
        <v>0.38</v>
      </c>
      <c r="P11" s="48">
        <v>65</v>
      </c>
      <c r="Q11" s="48">
        <v>15</v>
      </c>
      <c r="R11" s="49">
        <v>65</v>
      </c>
      <c r="S11" s="49">
        <v>65</v>
      </c>
      <c r="T11" s="49">
        <v>65</v>
      </c>
      <c r="U11" s="49">
        <v>65</v>
      </c>
      <c r="V11" s="49">
        <v>65</v>
      </c>
      <c r="W11" s="49">
        <v>65</v>
      </c>
      <c r="X11" s="50">
        <v>102.08</v>
      </c>
      <c r="Y11" s="50">
        <v>53.62</v>
      </c>
      <c r="Z11" s="50">
        <v>49.14</v>
      </c>
      <c r="AA11" s="50">
        <v>44.77</v>
      </c>
      <c r="AB11" s="50">
        <v>40.76</v>
      </c>
      <c r="AC11" s="50">
        <v>38.06</v>
      </c>
      <c r="AD11" s="51">
        <v>66.349999999999994</v>
      </c>
      <c r="AE11" s="51">
        <v>34.85</v>
      </c>
      <c r="AF11" s="51">
        <v>31.94</v>
      </c>
      <c r="AG11" s="51">
        <v>29.1</v>
      </c>
      <c r="AH11" s="51">
        <v>26.49</v>
      </c>
      <c r="AI11" s="51">
        <v>24.74</v>
      </c>
      <c r="AJ11" s="52">
        <v>2873.83</v>
      </c>
      <c r="AK11" s="52">
        <v>1670.51</v>
      </c>
      <c r="AL11" s="52">
        <v>1533.45</v>
      </c>
      <c r="AM11" s="52">
        <v>1399.83</v>
      </c>
      <c r="AN11" s="52">
        <v>1269.68</v>
      </c>
      <c r="AO11" s="52">
        <v>1196.2</v>
      </c>
      <c r="AP11" s="53">
        <v>2815.22</v>
      </c>
      <c r="AQ11" s="53">
        <v>3115.45</v>
      </c>
      <c r="AR11" s="53">
        <v>3120.39</v>
      </c>
      <c r="AS11" s="53">
        <v>3126.7</v>
      </c>
      <c r="AT11" s="53">
        <v>3115</v>
      </c>
      <c r="AU11" s="53">
        <v>3142.88</v>
      </c>
      <c r="AV11" s="54">
        <v>4331.1000000000004</v>
      </c>
      <c r="AW11" s="54">
        <v>4793</v>
      </c>
      <c r="AX11" s="54">
        <v>4800.6000000000004</v>
      </c>
      <c r="AY11" s="54">
        <v>4810.3</v>
      </c>
      <c r="AZ11" s="54">
        <v>4792.3</v>
      </c>
      <c r="BA11" s="54">
        <v>4835.2</v>
      </c>
      <c r="BB11" s="55">
        <v>3837279</v>
      </c>
      <c r="BC11" s="55">
        <v>2003103</v>
      </c>
      <c r="BD11" s="55">
        <v>1831574</v>
      </c>
      <c r="BE11" s="55">
        <v>1660046</v>
      </c>
      <c r="BF11" s="55">
        <v>1488517</v>
      </c>
      <c r="BG11" s="55">
        <v>1402753</v>
      </c>
    </row>
    <row r="12" spans="1:59" ht="15.75" thickBot="1" x14ac:dyDescent="0.3">
      <c r="A12" s="44" t="s">
        <v>163</v>
      </c>
      <c r="B12" s="44" t="s">
        <v>164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6">
        <v>1</v>
      </c>
      <c r="J12" s="47">
        <v>0.83</v>
      </c>
      <c r="K12" s="47">
        <v>0.5</v>
      </c>
      <c r="L12" s="47">
        <v>0.42</v>
      </c>
      <c r="M12" s="47">
        <v>0.34</v>
      </c>
      <c r="N12" s="47">
        <v>0.27</v>
      </c>
      <c r="O12" s="47">
        <v>0.23</v>
      </c>
      <c r="P12" s="48">
        <v>65</v>
      </c>
      <c r="Q12" s="48">
        <v>29</v>
      </c>
      <c r="R12" s="49">
        <v>65</v>
      </c>
      <c r="S12" s="49">
        <v>65</v>
      </c>
      <c r="T12" s="49">
        <v>65</v>
      </c>
      <c r="U12" s="49">
        <v>65</v>
      </c>
      <c r="V12" s="49">
        <v>65</v>
      </c>
      <c r="W12" s="49">
        <v>65</v>
      </c>
      <c r="X12" s="50">
        <v>82.98</v>
      </c>
      <c r="Y12" s="50">
        <v>50.12</v>
      </c>
      <c r="Z12" s="50">
        <v>42.06</v>
      </c>
      <c r="AA12" s="50">
        <v>34.229999999999997</v>
      </c>
      <c r="AB12" s="50">
        <v>26.81</v>
      </c>
      <c r="AC12" s="50">
        <v>22.73</v>
      </c>
      <c r="AD12" s="51">
        <v>53.93</v>
      </c>
      <c r="AE12" s="51">
        <v>32.58</v>
      </c>
      <c r="AF12" s="51">
        <v>27.34</v>
      </c>
      <c r="AG12" s="51">
        <v>22.25</v>
      </c>
      <c r="AH12" s="51">
        <v>17.43</v>
      </c>
      <c r="AI12" s="51">
        <v>14.77</v>
      </c>
      <c r="AJ12" s="52">
        <v>2335.9699999999998</v>
      </c>
      <c r="AK12" s="52">
        <v>1561.58</v>
      </c>
      <c r="AL12" s="52">
        <v>1312.49</v>
      </c>
      <c r="AM12" s="52">
        <v>1070.29</v>
      </c>
      <c r="AN12" s="52">
        <v>835.13</v>
      </c>
      <c r="AO12" s="52">
        <v>714.35</v>
      </c>
      <c r="AP12" s="53">
        <v>2815.22</v>
      </c>
      <c r="AQ12" s="53">
        <v>3115.45</v>
      </c>
      <c r="AR12" s="53">
        <v>3120.39</v>
      </c>
      <c r="AS12" s="53">
        <v>3126.7</v>
      </c>
      <c r="AT12" s="53">
        <v>3115</v>
      </c>
      <c r="AU12" s="53">
        <v>3142.88</v>
      </c>
      <c r="AV12" s="54">
        <v>4331.1000000000004</v>
      </c>
      <c r="AW12" s="54">
        <v>4793</v>
      </c>
      <c r="AX12" s="54">
        <v>4800.6000000000004</v>
      </c>
      <c r="AY12" s="54">
        <v>4810.3</v>
      </c>
      <c r="AZ12" s="54">
        <v>4792.3</v>
      </c>
      <c r="BA12" s="54">
        <v>4835.2</v>
      </c>
      <c r="BB12" s="55">
        <v>6422621</v>
      </c>
      <c r="BC12" s="55">
        <v>4316191</v>
      </c>
      <c r="BD12" s="55">
        <v>3680916</v>
      </c>
      <c r="BE12" s="55">
        <v>3045643</v>
      </c>
      <c r="BF12" s="55">
        <v>2410368</v>
      </c>
      <c r="BG12" s="55">
        <v>2092730</v>
      </c>
    </row>
    <row r="13" spans="1:59" ht="15.75" thickBot="1" x14ac:dyDescent="0.3">
      <c r="A13" s="44" t="s">
        <v>165</v>
      </c>
      <c r="B13" s="44" t="s">
        <v>92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6">
        <v>1</v>
      </c>
      <c r="J13" s="47">
        <v>0.04</v>
      </c>
      <c r="K13" s="47">
        <v>0.05</v>
      </c>
      <c r="L13" s="47">
        <v>0.03</v>
      </c>
      <c r="M13" s="47">
        <v>0.03</v>
      </c>
      <c r="N13" s="47">
        <v>0.03</v>
      </c>
      <c r="O13" s="47">
        <v>0.03</v>
      </c>
      <c r="P13" s="48">
        <v>60</v>
      </c>
      <c r="Q13" s="48">
        <v>33</v>
      </c>
      <c r="R13" s="49">
        <v>60</v>
      </c>
      <c r="S13" s="49">
        <v>60</v>
      </c>
      <c r="T13" s="49">
        <v>60</v>
      </c>
      <c r="U13" s="49">
        <v>60</v>
      </c>
      <c r="V13" s="49">
        <v>60</v>
      </c>
      <c r="W13" s="49">
        <v>60</v>
      </c>
      <c r="X13" s="50">
        <v>4.45</v>
      </c>
      <c r="Y13" s="50">
        <v>5.18</v>
      </c>
      <c r="Z13" s="50">
        <v>2.85</v>
      </c>
      <c r="AA13" s="50">
        <v>2.8</v>
      </c>
      <c r="AB13" s="50">
        <v>2.77</v>
      </c>
      <c r="AC13" s="50">
        <v>2.7</v>
      </c>
      <c r="AD13" s="51">
        <v>2.67</v>
      </c>
      <c r="AE13" s="51">
        <v>3.11</v>
      </c>
      <c r="AF13" s="51">
        <v>1.71</v>
      </c>
      <c r="AG13" s="51">
        <v>1.68</v>
      </c>
      <c r="AH13" s="51">
        <v>1.66</v>
      </c>
      <c r="AI13" s="51">
        <v>1.62</v>
      </c>
      <c r="AJ13" s="52">
        <v>115.54</v>
      </c>
      <c r="AK13" s="52">
        <v>149.11000000000001</v>
      </c>
      <c r="AL13" s="52">
        <v>82.18</v>
      </c>
      <c r="AM13" s="52">
        <v>80.91</v>
      </c>
      <c r="AN13" s="52">
        <v>79.63</v>
      </c>
      <c r="AO13" s="52">
        <v>78.37</v>
      </c>
      <c r="AP13" s="53">
        <v>2598.66</v>
      </c>
      <c r="AQ13" s="53">
        <v>2875.8</v>
      </c>
      <c r="AR13" s="53">
        <v>2880.36</v>
      </c>
      <c r="AS13" s="53">
        <v>2886.18</v>
      </c>
      <c r="AT13" s="53">
        <v>2875.38</v>
      </c>
      <c r="AU13" s="53">
        <v>2901.12</v>
      </c>
      <c r="AV13" s="54">
        <v>4331.1000000000004</v>
      </c>
      <c r="AW13" s="54">
        <v>4793</v>
      </c>
      <c r="AX13" s="54">
        <v>4800.6000000000004</v>
      </c>
      <c r="AY13" s="54">
        <v>4810.3</v>
      </c>
      <c r="AZ13" s="54">
        <v>4792.3</v>
      </c>
      <c r="BA13" s="54">
        <v>4835.2</v>
      </c>
      <c r="BB13" s="55">
        <v>42644</v>
      </c>
      <c r="BC13" s="55">
        <v>54964</v>
      </c>
      <c r="BD13" s="55">
        <v>30964</v>
      </c>
      <c r="BE13" s="55">
        <v>30964</v>
      </c>
      <c r="BF13" s="55">
        <v>30964</v>
      </c>
      <c r="BG13" s="55">
        <v>30964</v>
      </c>
    </row>
    <row r="14" spans="1:59" ht="15.75" thickBot="1" x14ac:dyDescent="0.3">
      <c r="A14" s="44" t="s">
        <v>166</v>
      </c>
      <c r="B14" s="44" t="s">
        <v>167</v>
      </c>
      <c r="C14" s="45">
        <v>1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6">
        <v>1</v>
      </c>
      <c r="J14" s="47">
        <v>0.33</v>
      </c>
      <c r="K14" s="47">
        <v>0.34</v>
      </c>
      <c r="L14" s="47">
        <v>0.34</v>
      </c>
      <c r="M14" s="47">
        <v>0.33</v>
      </c>
      <c r="N14" s="47">
        <v>0.33</v>
      </c>
      <c r="O14" s="47">
        <v>0.32</v>
      </c>
      <c r="P14" s="48">
        <v>65</v>
      </c>
      <c r="Q14" s="48">
        <v>26</v>
      </c>
      <c r="R14" s="49">
        <v>65</v>
      </c>
      <c r="S14" s="49">
        <v>65</v>
      </c>
      <c r="T14" s="49">
        <v>65</v>
      </c>
      <c r="U14" s="49">
        <v>65</v>
      </c>
      <c r="V14" s="49">
        <v>65</v>
      </c>
      <c r="W14" s="49">
        <v>65</v>
      </c>
      <c r="X14" s="50">
        <v>33.409999999999997</v>
      </c>
      <c r="Y14" s="50">
        <v>34.229999999999997</v>
      </c>
      <c r="Z14" s="50">
        <v>33.65</v>
      </c>
      <c r="AA14" s="50">
        <v>33.07</v>
      </c>
      <c r="AB14" s="50">
        <v>32.67</v>
      </c>
      <c r="AC14" s="50">
        <v>31.86</v>
      </c>
      <c r="AD14" s="51">
        <v>21.71</v>
      </c>
      <c r="AE14" s="51">
        <v>22.25</v>
      </c>
      <c r="AF14" s="51">
        <v>21.88</v>
      </c>
      <c r="AG14" s="51">
        <v>21.49</v>
      </c>
      <c r="AH14" s="51">
        <v>21.24</v>
      </c>
      <c r="AI14" s="51">
        <v>20.71</v>
      </c>
      <c r="AJ14" s="52">
        <v>940.45</v>
      </c>
      <c r="AK14" s="52">
        <v>1066.3900000000001</v>
      </c>
      <c r="AL14" s="52">
        <v>1050.1500000000001</v>
      </c>
      <c r="AM14" s="52">
        <v>1033.9000000000001</v>
      </c>
      <c r="AN14" s="52">
        <v>1017.68</v>
      </c>
      <c r="AO14" s="52">
        <v>1001.44</v>
      </c>
      <c r="AP14" s="53">
        <v>2815.22</v>
      </c>
      <c r="AQ14" s="53">
        <v>3115.45</v>
      </c>
      <c r="AR14" s="53">
        <v>3120.39</v>
      </c>
      <c r="AS14" s="53">
        <v>3126.7</v>
      </c>
      <c r="AT14" s="53">
        <v>3115</v>
      </c>
      <c r="AU14" s="53">
        <v>3142.88</v>
      </c>
      <c r="AV14" s="54">
        <v>4331.1000000000004</v>
      </c>
      <c r="AW14" s="54">
        <v>4793</v>
      </c>
      <c r="AX14" s="54">
        <v>4800.6000000000004</v>
      </c>
      <c r="AY14" s="54">
        <v>4810.3</v>
      </c>
      <c r="AZ14" s="54">
        <v>4792.3</v>
      </c>
      <c r="BA14" s="54">
        <v>4835.2</v>
      </c>
      <c r="BB14" s="55">
        <v>1784787</v>
      </c>
      <c r="BC14" s="55">
        <v>1894672</v>
      </c>
      <c r="BD14" s="55">
        <v>1894672</v>
      </c>
      <c r="BE14" s="55">
        <v>1894672</v>
      </c>
      <c r="BF14" s="55">
        <v>1894672</v>
      </c>
      <c r="BG14" s="55">
        <v>1894672</v>
      </c>
    </row>
    <row r="15" spans="1:59" ht="15.75" thickBot="1" x14ac:dyDescent="0.3">
      <c r="A15" s="44" t="s">
        <v>168</v>
      </c>
      <c r="B15" s="44" t="s">
        <v>169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6">
        <v>1</v>
      </c>
      <c r="J15" s="47">
        <v>0.51</v>
      </c>
      <c r="K15" s="47">
        <v>0.34</v>
      </c>
      <c r="L15" s="47">
        <v>0.33</v>
      </c>
      <c r="M15" s="47">
        <v>0.33</v>
      </c>
      <c r="N15" s="47">
        <v>0.32</v>
      </c>
      <c r="O15" s="47">
        <v>0.31</v>
      </c>
      <c r="P15" s="48">
        <v>65</v>
      </c>
      <c r="Q15" s="48">
        <v>29</v>
      </c>
      <c r="R15" s="49">
        <v>65</v>
      </c>
      <c r="S15" s="49">
        <v>65</v>
      </c>
      <c r="T15" s="49">
        <v>65</v>
      </c>
      <c r="U15" s="49">
        <v>65</v>
      </c>
      <c r="V15" s="49">
        <v>65</v>
      </c>
      <c r="W15" s="49">
        <v>65</v>
      </c>
      <c r="X15" s="50">
        <v>50.57</v>
      </c>
      <c r="Y15" s="50">
        <v>33.840000000000003</v>
      </c>
      <c r="Z15" s="50">
        <v>33.270000000000003</v>
      </c>
      <c r="AA15" s="50">
        <v>32.69</v>
      </c>
      <c r="AB15" s="50">
        <v>32.299999999999997</v>
      </c>
      <c r="AC15" s="50">
        <v>31.5</v>
      </c>
      <c r="AD15" s="51">
        <v>32.869999999999997</v>
      </c>
      <c r="AE15" s="51">
        <v>21.99</v>
      </c>
      <c r="AF15" s="51">
        <v>21.63</v>
      </c>
      <c r="AG15" s="51">
        <v>21.25</v>
      </c>
      <c r="AH15" s="51">
        <v>20.99</v>
      </c>
      <c r="AI15" s="51">
        <v>20.47</v>
      </c>
      <c r="AJ15" s="52">
        <v>1423.71</v>
      </c>
      <c r="AK15" s="52">
        <v>1054.2</v>
      </c>
      <c r="AL15" s="52">
        <v>1038.1300000000001</v>
      </c>
      <c r="AM15" s="52">
        <v>1022.11</v>
      </c>
      <c r="AN15" s="52">
        <v>1006.01</v>
      </c>
      <c r="AO15" s="52">
        <v>989.96</v>
      </c>
      <c r="AP15" s="53">
        <v>2815.22</v>
      </c>
      <c r="AQ15" s="53">
        <v>3115.45</v>
      </c>
      <c r="AR15" s="53">
        <v>3120.39</v>
      </c>
      <c r="AS15" s="53">
        <v>3126.7</v>
      </c>
      <c r="AT15" s="53">
        <v>3115</v>
      </c>
      <c r="AU15" s="53">
        <v>3142.88</v>
      </c>
      <c r="AV15" s="54">
        <v>4331.1000000000004</v>
      </c>
      <c r="AW15" s="54">
        <v>4793</v>
      </c>
      <c r="AX15" s="54">
        <v>4800.6000000000004</v>
      </c>
      <c r="AY15" s="54">
        <v>4810.3</v>
      </c>
      <c r="AZ15" s="54">
        <v>4792.3</v>
      </c>
      <c r="BA15" s="54">
        <v>4835.2</v>
      </c>
      <c r="BB15" s="55">
        <v>918453</v>
      </c>
      <c r="BC15" s="55">
        <v>780794</v>
      </c>
      <c r="BD15" s="55">
        <v>780794</v>
      </c>
      <c r="BE15" s="55">
        <v>780794</v>
      </c>
      <c r="BF15" s="55">
        <v>780794</v>
      </c>
      <c r="BG15" s="55">
        <v>780794</v>
      </c>
    </row>
    <row r="16" spans="1:59" ht="15.75" thickBot="1" x14ac:dyDescent="0.3">
      <c r="A16" s="44" t="s">
        <v>170</v>
      </c>
      <c r="B16" s="44" t="s">
        <v>171</v>
      </c>
      <c r="C16" s="45">
        <v>1</v>
      </c>
      <c r="D16" s="45">
        <v>1</v>
      </c>
      <c r="E16" s="45">
        <v>1</v>
      </c>
      <c r="F16" s="45">
        <v>1</v>
      </c>
      <c r="G16" s="45">
        <v>1</v>
      </c>
      <c r="H16" s="45">
        <v>1</v>
      </c>
      <c r="I16" s="46">
        <v>1</v>
      </c>
      <c r="J16" s="47">
        <v>0.46</v>
      </c>
      <c r="K16" s="47">
        <v>0.56999999999999995</v>
      </c>
      <c r="L16" s="47">
        <v>0.57999999999999996</v>
      </c>
      <c r="M16" s="47">
        <v>0.59</v>
      </c>
      <c r="N16" s="47">
        <v>0.6</v>
      </c>
      <c r="O16" s="47">
        <v>0.6</v>
      </c>
      <c r="P16" s="48">
        <v>65</v>
      </c>
      <c r="Q16" s="48">
        <v>25</v>
      </c>
      <c r="R16" s="49">
        <v>65</v>
      </c>
      <c r="S16" s="49">
        <v>65</v>
      </c>
      <c r="T16" s="49">
        <v>65</v>
      </c>
      <c r="U16" s="49">
        <v>65</v>
      </c>
      <c r="V16" s="49">
        <v>65</v>
      </c>
      <c r="W16" s="49">
        <v>65</v>
      </c>
      <c r="X16" s="50">
        <v>45.98</v>
      </c>
      <c r="Y16" s="50">
        <v>57.21</v>
      </c>
      <c r="Z16" s="50">
        <v>57.99</v>
      </c>
      <c r="AA16" s="50">
        <v>58.78</v>
      </c>
      <c r="AB16" s="50">
        <v>59.93</v>
      </c>
      <c r="AC16" s="50">
        <v>60.36</v>
      </c>
      <c r="AD16" s="51">
        <v>29.89</v>
      </c>
      <c r="AE16" s="51">
        <v>37.19</v>
      </c>
      <c r="AF16" s="51">
        <v>37.69</v>
      </c>
      <c r="AG16" s="51">
        <v>38.200000000000003</v>
      </c>
      <c r="AH16" s="51">
        <v>38.96</v>
      </c>
      <c r="AI16" s="51">
        <v>39.24</v>
      </c>
      <c r="AJ16" s="52">
        <v>1294.53</v>
      </c>
      <c r="AK16" s="52">
        <v>1782.34</v>
      </c>
      <c r="AL16" s="52">
        <v>1809.52</v>
      </c>
      <c r="AM16" s="52">
        <v>1837.73</v>
      </c>
      <c r="AN16" s="52">
        <v>1866.92</v>
      </c>
      <c r="AO16" s="52">
        <v>1897.12</v>
      </c>
      <c r="AP16" s="53">
        <v>2815.22</v>
      </c>
      <c r="AQ16" s="53">
        <v>3115.45</v>
      </c>
      <c r="AR16" s="53">
        <v>3120.39</v>
      </c>
      <c r="AS16" s="53">
        <v>3126.7</v>
      </c>
      <c r="AT16" s="53">
        <v>3115</v>
      </c>
      <c r="AU16" s="53">
        <v>3142.88</v>
      </c>
      <c r="AV16" s="54">
        <v>4331.1000000000004</v>
      </c>
      <c r="AW16" s="54">
        <v>4793</v>
      </c>
      <c r="AX16" s="54">
        <v>4800.6000000000004</v>
      </c>
      <c r="AY16" s="54">
        <v>4810.3</v>
      </c>
      <c r="AZ16" s="54">
        <v>4792.3</v>
      </c>
      <c r="BA16" s="54">
        <v>4835.2</v>
      </c>
      <c r="BB16" s="55">
        <v>1241110.52</v>
      </c>
      <c r="BC16" s="55">
        <v>1779591</v>
      </c>
      <c r="BD16" s="55">
        <v>1839591</v>
      </c>
      <c r="BE16" s="55">
        <v>1902591</v>
      </c>
      <c r="BF16" s="55">
        <v>1968741</v>
      </c>
      <c r="BG16" s="55">
        <v>2038199</v>
      </c>
    </row>
    <row r="17" spans="1:59" ht="15.75" thickBot="1" x14ac:dyDescent="0.3">
      <c r="A17" s="44" t="s">
        <v>172</v>
      </c>
      <c r="B17" s="44" t="s">
        <v>89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6">
        <v>1</v>
      </c>
      <c r="J17" s="47">
        <v>1.1499999999999999</v>
      </c>
      <c r="K17" s="47">
        <v>0.91</v>
      </c>
      <c r="L17" s="47">
        <v>0.99</v>
      </c>
      <c r="M17" s="47">
        <v>1.04</v>
      </c>
      <c r="N17" s="47">
        <v>1.0900000000000001</v>
      </c>
      <c r="O17" s="47">
        <v>1.1000000000000001</v>
      </c>
      <c r="P17" s="48">
        <v>65</v>
      </c>
      <c r="Q17" s="48">
        <v>44</v>
      </c>
      <c r="R17" s="49">
        <v>65</v>
      </c>
      <c r="S17" s="49">
        <v>65</v>
      </c>
      <c r="T17" s="49">
        <v>65</v>
      </c>
      <c r="U17" s="49">
        <v>65</v>
      </c>
      <c r="V17" s="49">
        <v>65</v>
      </c>
      <c r="W17" s="49">
        <v>65</v>
      </c>
      <c r="X17" s="50">
        <v>115.38</v>
      </c>
      <c r="Y17" s="50">
        <v>91.33</v>
      </c>
      <c r="Z17" s="50">
        <v>98.87</v>
      </c>
      <c r="AA17" s="50">
        <v>103.74</v>
      </c>
      <c r="AB17" s="50">
        <v>109.13</v>
      </c>
      <c r="AC17" s="50">
        <v>109.99</v>
      </c>
      <c r="AD17" s="51">
        <v>75</v>
      </c>
      <c r="AE17" s="51">
        <v>59.36</v>
      </c>
      <c r="AF17" s="51">
        <v>64.27</v>
      </c>
      <c r="AG17" s="51">
        <v>67.430000000000007</v>
      </c>
      <c r="AH17" s="51">
        <v>70.94</v>
      </c>
      <c r="AI17" s="51">
        <v>71.5</v>
      </c>
      <c r="AJ17" s="52">
        <v>4542.66</v>
      </c>
      <c r="AK17" s="52">
        <v>4024.9</v>
      </c>
      <c r="AL17" s="52">
        <v>4359.21</v>
      </c>
      <c r="AM17" s="52">
        <v>4588.0200000000004</v>
      </c>
      <c r="AN17" s="52">
        <v>4805.28</v>
      </c>
      <c r="AO17" s="52">
        <v>4883.93</v>
      </c>
      <c r="AP17" s="53">
        <v>3937.05</v>
      </c>
      <c r="AQ17" s="53">
        <v>4407</v>
      </c>
      <c r="AR17" s="53">
        <v>4408.95</v>
      </c>
      <c r="AS17" s="53">
        <v>4422.6000000000004</v>
      </c>
      <c r="AT17" s="53">
        <v>4403.1000000000004</v>
      </c>
      <c r="AU17" s="53">
        <v>4440.1499999999996</v>
      </c>
      <c r="AV17" s="54">
        <v>6057</v>
      </c>
      <c r="AW17" s="54">
        <v>6780</v>
      </c>
      <c r="AX17" s="54">
        <v>6783</v>
      </c>
      <c r="AY17" s="54">
        <v>6804</v>
      </c>
      <c r="AZ17" s="54">
        <v>6774</v>
      </c>
      <c r="BA17" s="54">
        <v>6831</v>
      </c>
      <c r="BB17" s="55">
        <v>3619205</v>
      </c>
      <c r="BC17" s="55">
        <v>3139814</v>
      </c>
      <c r="BD17" s="55">
        <v>3386887</v>
      </c>
      <c r="BE17" s="55">
        <v>3584344</v>
      </c>
      <c r="BF17" s="55">
        <v>3780431</v>
      </c>
      <c r="BG17" s="55">
        <v>3885301</v>
      </c>
    </row>
    <row r="18" spans="1:59" ht="15.75" thickBot="1" x14ac:dyDescent="0.3">
      <c r="A18" s="44" t="s">
        <v>173</v>
      </c>
      <c r="B18" s="44" t="s">
        <v>174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6">
        <v>1</v>
      </c>
      <c r="J18" s="47">
        <v>7.0000000000000007E-2</v>
      </c>
      <c r="K18" s="47">
        <v>0.08</v>
      </c>
      <c r="L18" s="47">
        <v>7.0000000000000007E-2</v>
      </c>
      <c r="M18" s="47">
        <v>7.0000000000000007E-2</v>
      </c>
      <c r="N18" s="47">
        <v>7.0000000000000007E-2</v>
      </c>
      <c r="O18" s="47">
        <v>7.0000000000000007E-2</v>
      </c>
      <c r="P18" s="48">
        <v>65</v>
      </c>
      <c r="Q18" s="48">
        <v>37</v>
      </c>
      <c r="R18" s="49">
        <v>65</v>
      </c>
      <c r="S18" s="49">
        <v>65</v>
      </c>
      <c r="T18" s="49">
        <v>65</v>
      </c>
      <c r="U18" s="49">
        <v>65</v>
      </c>
      <c r="V18" s="49">
        <v>65</v>
      </c>
      <c r="W18" s="49">
        <v>65</v>
      </c>
      <c r="X18" s="50">
        <v>7.43</v>
      </c>
      <c r="Y18" s="50">
        <v>7.51</v>
      </c>
      <c r="Z18" s="50">
        <v>7.39</v>
      </c>
      <c r="AA18" s="50">
        <v>7.26</v>
      </c>
      <c r="AB18" s="50">
        <v>7.18</v>
      </c>
      <c r="AC18" s="50">
        <v>7</v>
      </c>
      <c r="AD18" s="51">
        <v>4.83</v>
      </c>
      <c r="AE18" s="51">
        <v>4.88</v>
      </c>
      <c r="AF18" s="51">
        <v>4.8099999999999996</v>
      </c>
      <c r="AG18" s="51">
        <v>4.72</v>
      </c>
      <c r="AH18" s="51">
        <v>4.66</v>
      </c>
      <c r="AI18" s="51">
        <v>4.55</v>
      </c>
      <c r="AJ18" s="52">
        <v>292.62</v>
      </c>
      <c r="AK18" s="52">
        <v>331.05</v>
      </c>
      <c r="AL18" s="52">
        <v>326.02</v>
      </c>
      <c r="AM18" s="52">
        <v>320.97000000000003</v>
      </c>
      <c r="AN18" s="52">
        <v>315.93</v>
      </c>
      <c r="AO18" s="52">
        <v>310.89</v>
      </c>
      <c r="AP18" s="53">
        <v>3937.05</v>
      </c>
      <c r="AQ18" s="53">
        <v>4407</v>
      </c>
      <c r="AR18" s="53">
        <v>4408.95</v>
      </c>
      <c r="AS18" s="53">
        <v>4422.6000000000004</v>
      </c>
      <c r="AT18" s="53">
        <v>4403.1000000000004</v>
      </c>
      <c r="AU18" s="53">
        <v>4440.1499999999996</v>
      </c>
      <c r="AV18" s="54">
        <v>6057</v>
      </c>
      <c r="AW18" s="54">
        <v>6780</v>
      </c>
      <c r="AX18" s="54">
        <v>6783</v>
      </c>
      <c r="AY18" s="54">
        <v>6804</v>
      </c>
      <c r="AZ18" s="54">
        <v>6774</v>
      </c>
      <c r="BA18" s="54">
        <v>6831</v>
      </c>
      <c r="BB18" s="55">
        <v>175473</v>
      </c>
      <c r="BC18" s="55">
        <v>204227</v>
      </c>
      <c r="BD18" s="55">
        <v>204227</v>
      </c>
      <c r="BE18" s="55">
        <v>204227</v>
      </c>
      <c r="BF18" s="55">
        <v>204227</v>
      </c>
      <c r="BG18" s="55">
        <v>204227</v>
      </c>
    </row>
    <row r="19" spans="1:59" ht="15.75" thickBot="1" x14ac:dyDescent="0.3">
      <c r="A19" s="56"/>
    </row>
    <row r="20" spans="1:59" x14ac:dyDescent="0.25">
      <c r="A20" s="58"/>
      <c r="B20" s="58"/>
      <c r="C20" s="58"/>
    </row>
    <row r="21" spans="1:59" x14ac:dyDescent="0.25">
      <c r="A21" s="58"/>
      <c r="B21" s="58"/>
    </row>
    <row r="22" spans="1:59" x14ac:dyDescent="0.25">
      <c r="A22" s="58"/>
      <c r="B22" s="58"/>
    </row>
    <row r="23" spans="1:59" x14ac:dyDescent="0.25">
      <c r="A23" s="203"/>
      <c r="B23" s="203"/>
    </row>
    <row r="24" spans="1:59" x14ac:dyDescent="0.25">
      <c r="A24" s="58"/>
      <c r="B24" s="58"/>
    </row>
    <row r="25" spans="1:59" x14ac:dyDescent="0.25">
      <c r="A25" s="58"/>
      <c r="B25" s="59"/>
    </row>
    <row r="26" spans="1:59" x14ac:dyDescent="0.25">
      <c r="A26" s="60"/>
    </row>
    <row r="27" spans="1:59" x14ac:dyDescent="0.25">
      <c r="A27" s="61"/>
      <c r="B27" s="61"/>
    </row>
  </sheetData>
  <mergeCells count="12">
    <mergeCell ref="AD1:AI1"/>
    <mergeCell ref="AJ1:AO1"/>
    <mergeCell ref="AP1:AU1"/>
    <mergeCell ref="AV1:BA1"/>
    <mergeCell ref="BB1:BG1"/>
    <mergeCell ref="R1:W1"/>
    <mergeCell ref="X1:AC1"/>
    <mergeCell ref="A23:B23"/>
    <mergeCell ref="A1:B1"/>
    <mergeCell ref="C1:H1"/>
    <mergeCell ref="J1:O1"/>
    <mergeCell ref="P1:Q1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4EE4-75CA-4C3E-BFB1-00C6DABFA659}">
  <dimension ref="A1:BG11"/>
  <sheetViews>
    <sheetView workbookViewId="0">
      <selection activeCell="J23" sqref="J23"/>
    </sheetView>
  </sheetViews>
  <sheetFormatPr defaultRowHeight="15" x14ac:dyDescent="0.25"/>
  <cols>
    <col min="1" max="1" width="14.7109375" style="2" bestFit="1" customWidth="1"/>
    <col min="2" max="2" width="28.85546875" style="2" bestFit="1" customWidth="1"/>
    <col min="3" max="6" width="6.28515625" style="2" bestFit="1" customWidth="1"/>
    <col min="7" max="7" width="16" style="2" bestFit="1" customWidth="1"/>
    <col min="8" max="8" width="6.28515625" style="2" bestFit="1" customWidth="1"/>
    <col min="9" max="9" width="16.28515625" style="2" bestFit="1" customWidth="1"/>
    <col min="10" max="15" width="6.28515625" style="2" bestFit="1" customWidth="1"/>
    <col min="16" max="16" width="15.140625" style="2" bestFit="1" customWidth="1"/>
    <col min="17" max="17" width="13.85546875" style="2" bestFit="1" customWidth="1"/>
    <col min="18" max="23" width="7.42578125" style="2" bestFit="1" customWidth="1"/>
    <col min="24" max="35" width="8.5703125" style="2" bestFit="1" customWidth="1"/>
    <col min="36" max="53" width="11.42578125" style="2" bestFit="1" customWidth="1"/>
    <col min="54" max="59" width="15.5703125" style="2" bestFit="1" customWidth="1"/>
  </cols>
  <sheetData>
    <row r="1" spans="1:59" ht="15.75" thickBot="1" x14ac:dyDescent="0.3">
      <c r="C1" s="6" t="s">
        <v>130</v>
      </c>
      <c r="D1" s="32"/>
      <c r="E1" s="32"/>
      <c r="F1" s="32"/>
      <c r="G1" s="32"/>
      <c r="H1" s="31"/>
      <c r="I1" s="7" t="s">
        <v>131</v>
      </c>
      <c r="J1" s="6" t="s">
        <v>132</v>
      </c>
      <c r="K1" s="32"/>
      <c r="L1" s="32"/>
      <c r="M1" s="32"/>
      <c r="N1" s="32"/>
      <c r="O1" s="31"/>
      <c r="P1" s="6" t="s">
        <v>133</v>
      </c>
      <c r="Q1" s="31"/>
      <c r="R1" s="6" t="s">
        <v>134</v>
      </c>
      <c r="S1" s="32"/>
      <c r="T1" s="32"/>
      <c r="U1" s="32"/>
      <c r="V1" s="32"/>
      <c r="W1" s="31"/>
      <c r="X1" s="6" t="s">
        <v>135</v>
      </c>
      <c r="Y1" s="32"/>
      <c r="Z1" s="32"/>
      <c r="AA1" s="32"/>
      <c r="AB1" s="32"/>
      <c r="AC1" s="31"/>
      <c r="AD1" s="6" t="s">
        <v>136</v>
      </c>
      <c r="AE1" s="32"/>
      <c r="AF1" s="32"/>
      <c r="AG1" s="32"/>
      <c r="AH1" s="32"/>
      <c r="AI1" s="31"/>
      <c r="AJ1" s="6" t="s">
        <v>137</v>
      </c>
      <c r="AK1" s="32"/>
      <c r="AL1" s="32"/>
      <c r="AM1" s="32"/>
      <c r="AN1" s="32"/>
      <c r="AO1" s="31"/>
      <c r="AP1" s="6" t="s">
        <v>138</v>
      </c>
      <c r="AQ1" s="32"/>
      <c r="AR1" s="32"/>
      <c r="AS1" s="32"/>
      <c r="AT1" s="32"/>
      <c r="AU1" s="31"/>
      <c r="AV1" s="6" t="s">
        <v>139</v>
      </c>
      <c r="AW1" s="32"/>
      <c r="AX1" s="32"/>
      <c r="AY1" s="32"/>
      <c r="AZ1" s="32"/>
      <c r="BA1" s="31"/>
      <c r="BB1" s="6" t="s">
        <v>140</v>
      </c>
      <c r="BC1" s="32"/>
      <c r="BD1" s="32"/>
      <c r="BE1" s="32"/>
      <c r="BF1" s="32"/>
      <c r="BG1" s="31"/>
    </row>
    <row r="2" spans="1:59" ht="15.75" thickBot="1" x14ac:dyDescent="0.3">
      <c r="A2" s="7" t="s">
        <v>141</v>
      </c>
      <c r="B2" s="7" t="s">
        <v>142</v>
      </c>
      <c r="C2" s="7">
        <v>2025</v>
      </c>
      <c r="D2" s="7">
        <v>2026</v>
      </c>
      <c r="E2" s="7">
        <v>2027</v>
      </c>
      <c r="F2" s="7">
        <v>2028</v>
      </c>
      <c r="G2" s="7">
        <v>2029</v>
      </c>
      <c r="H2" s="7">
        <v>2030</v>
      </c>
      <c r="I2" s="7" t="s">
        <v>143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 t="s">
        <v>144</v>
      </c>
      <c r="Q2" s="7" t="s">
        <v>145</v>
      </c>
      <c r="R2" s="7">
        <v>2025</v>
      </c>
      <c r="S2" s="7">
        <v>2026</v>
      </c>
      <c r="T2" s="7">
        <v>2027</v>
      </c>
      <c r="U2" s="7">
        <v>2028</v>
      </c>
      <c r="V2" s="7">
        <v>2029</v>
      </c>
      <c r="W2" s="7">
        <v>2030</v>
      </c>
      <c r="X2" s="7">
        <v>2025</v>
      </c>
      <c r="Y2" s="7">
        <v>2026</v>
      </c>
      <c r="Z2" s="7">
        <v>2027</v>
      </c>
      <c r="AA2" s="7">
        <v>2028</v>
      </c>
      <c r="AB2" s="7">
        <v>2029</v>
      </c>
      <c r="AC2" s="7">
        <v>2030</v>
      </c>
      <c r="AD2" s="7">
        <v>2025</v>
      </c>
      <c r="AE2" s="7">
        <v>2026</v>
      </c>
      <c r="AF2" s="7">
        <v>2027</v>
      </c>
      <c r="AG2" s="7">
        <v>2028</v>
      </c>
      <c r="AH2" s="7">
        <v>2029</v>
      </c>
      <c r="AI2" s="7">
        <v>2030</v>
      </c>
      <c r="AJ2" s="7">
        <v>2025</v>
      </c>
      <c r="AK2" s="7">
        <v>2026</v>
      </c>
      <c r="AL2" s="7">
        <v>2027</v>
      </c>
      <c r="AM2" s="7">
        <v>2028</v>
      </c>
      <c r="AN2" s="7">
        <v>2029</v>
      </c>
      <c r="AO2" s="7">
        <v>2030</v>
      </c>
      <c r="AP2" s="7">
        <v>2025</v>
      </c>
      <c r="AQ2" s="7">
        <v>2026</v>
      </c>
      <c r="AR2" s="7">
        <v>2027</v>
      </c>
      <c r="AS2" s="7">
        <v>2028</v>
      </c>
      <c r="AT2" s="7">
        <v>2029</v>
      </c>
      <c r="AU2" s="7">
        <v>2030</v>
      </c>
      <c r="AV2" s="7">
        <v>2025</v>
      </c>
      <c r="AW2" s="7">
        <v>2026</v>
      </c>
      <c r="AX2" s="7">
        <v>2027</v>
      </c>
      <c r="AY2" s="7">
        <v>2028</v>
      </c>
      <c r="AZ2" s="7">
        <v>2029</v>
      </c>
      <c r="BA2" s="7">
        <v>2030</v>
      </c>
      <c r="BB2" s="7">
        <v>2025</v>
      </c>
      <c r="BC2" s="7">
        <v>2026</v>
      </c>
      <c r="BD2" s="7">
        <v>2027</v>
      </c>
      <c r="BE2" s="7">
        <v>2028</v>
      </c>
      <c r="BF2" s="7">
        <v>2029</v>
      </c>
      <c r="BG2" s="7">
        <v>2030</v>
      </c>
    </row>
    <row r="3" spans="1:59" ht="15.75" thickBot="1" x14ac:dyDescent="0.3">
      <c r="A3" s="7" t="s">
        <v>146</v>
      </c>
      <c r="B3" s="7"/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4">
        <v>8</v>
      </c>
      <c r="J3" s="35">
        <v>5.49</v>
      </c>
      <c r="K3" s="35">
        <v>4.76</v>
      </c>
      <c r="L3" s="35">
        <v>5.13</v>
      </c>
      <c r="M3" s="35">
        <v>5.42</v>
      </c>
      <c r="N3" s="35">
        <v>5.81</v>
      </c>
      <c r="O3" s="35">
        <v>5.98</v>
      </c>
      <c r="P3" s="36">
        <v>83.75</v>
      </c>
      <c r="Q3" s="36">
        <v>0</v>
      </c>
      <c r="R3" s="37">
        <v>83.75</v>
      </c>
      <c r="S3" s="37">
        <v>83.75</v>
      </c>
      <c r="T3" s="37">
        <v>83.75</v>
      </c>
      <c r="U3" s="37">
        <v>83.75</v>
      </c>
      <c r="V3" s="37">
        <v>83.75</v>
      </c>
      <c r="W3" s="37">
        <v>83.75</v>
      </c>
      <c r="X3" s="38">
        <v>68.61</v>
      </c>
      <c r="Y3" s="38">
        <v>59.53</v>
      </c>
      <c r="Z3" s="38">
        <v>64</v>
      </c>
      <c r="AA3" s="38">
        <v>67.900000000000006</v>
      </c>
      <c r="AB3" s="38">
        <v>72.430000000000007</v>
      </c>
      <c r="AC3" s="38">
        <v>74.680000000000007</v>
      </c>
      <c r="AD3" s="39">
        <v>57.65</v>
      </c>
      <c r="AE3" s="39">
        <v>50.3</v>
      </c>
      <c r="AF3" s="39">
        <v>54.11</v>
      </c>
      <c r="AG3" s="39">
        <v>57.45</v>
      </c>
      <c r="AH3" s="39">
        <v>61.32</v>
      </c>
      <c r="AI3" s="39">
        <v>63.24</v>
      </c>
      <c r="AJ3" s="40">
        <v>17057.22</v>
      </c>
      <c r="AK3" s="40">
        <v>15829.78</v>
      </c>
      <c r="AL3" s="40">
        <v>16668.14</v>
      </c>
      <c r="AM3" s="40">
        <v>17575.47</v>
      </c>
      <c r="AN3" s="40">
        <v>18435.72</v>
      </c>
      <c r="AO3" s="40">
        <v>19057.2</v>
      </c>
      <c r="AP3" s="41">
        <v>28456</v>
      </c>
      <c r="AQ3" s="41">
        <v>31193.7</v>
      </c>
      <c r="AR3" s="41">
        <v>31152.03</v>
      </c>
      <c r="AS3" s="41">
        <v>31278.62</v>
      </c>
      <c r="AT3" s="41">
        <v>31130.26</v>
      </c>
      <c r="AU3" s="41">
        <v>31365.96</v>
      </c>
      <c r="AV3" s="42">
        <v>33819.300000000003</v>
      </c>
      <c r="AW3" s="42">
        <v>37056</v>
      </c>
      <c r="AX3" s="42">
        <v>37003.800000000003</v>
      </c>
      <c r="AY3" s="42">
        <v>37155.9</v>
      </c>
      <c r="AZ3" s="42">
        <v>36978.9</v>
      </c>
      <c r="BA3" s="42">
        <v>37257.599999999999</v>
      </c>
      <c r="BB3" s="43">
        <v>62244610.520000003</v>
      </c>
      <c r="BC3" s="43">
        <v>44972533</v>
      </c>
      <c r="BD3" s="43">
        <v>47862452</v>
      </c>
      <c r="BE3" s="43">
        <v>50799478</v>
      </c>
      <c r="BF3" s="43">
        <v>53735337</v>
      </c>
      <c r="BG3" s="43">
        <v>57668642</v>
      </c>
    </row>
    <row r="4" spans="1:59" ht="15.75" thickBot="1" x14ac:dyDescent="0.3">
      <c r="A4" s="44" t="s">
        <v>178</v>
      </c>
      <c r="B4" s="44" t="s">
        <v>117</v>
      </c>
      <c r="C4" s="45">
        <v>1</v>
      </c>
      <c r="D4" s="45">
        <v>1</v>
      </c>
      <c r="E4" s="45">
        <v>1</v>
      </c>
      <c r="F4" s="45">
        <v>1</v>
      </c>
      <c r="G4" s="45">
        <v>1</v>
      </c>
      <c r="H4" s="45">
        <v>1</v>
      </c>
      <c r="I4" s="46">
        <v>1</v>
      </c>
      <c r="J4" s="47">
        <v>0.17</v>
      </c>
      <c r="K4" s="47">
        <v>0.17</v>
      </c>
      <c r="L4" s="47">
        <v>0.16</v>
      </c>
      <c r="M4" s="47">
        <v>0.16</v>
      </c>
      <c r="N4" s="47">
        <v>0.16</v>
      </c>
      <c r="O4" s="47">
        <v>0.15</v>
      </c>
      <c r="P4" s="48">
        <v>85</v>
      </c>
      <c r="Q4" s="48">
        <v>0</v>
      </c>
      <c r="R4" s="49">
        <v>85</v>
      </c>
      <c r="S4" s="49">
        <v>85</v>
      </c>
      <c r="T4" s="49">
        <v>85</v>
      </c>
      <c r="U4" s="49">
        <v>85</v>
      </c>
      <c r="V4" s="49">
        <v>85</v>
      </c>
      <c r="W4" s="49">
        <v>85</v>
      </c>
      <c r="X4" s="50">
        <v>16.84</v>
      </c>
      <c r="Y4" s="50">
        <v>17.12</v>
      </c>
      <c r="Z4" s="50">
        <v>16.21</v>
      </c>
      <c r="AA4" s="50">
        <v>15.85</v>
      </c>
      <c r="AB4" s="50">
        <v>15.61</v>
      </c>
      <c r="AC4" s="50">
        <v>15.23</v>
      </c>
      <c r="AD4" s="51">
        <v>14.31</v>
      </c>
      <c r="AE4" s="51">
        <v>14.56</v>
      </c>
      <c r="AF4" s="51">
        <v>13.78</v>
      </c>
      <c r="AG4" s="51">
        <v>13.47</v>
      </c>
      <c r="AH4" s="51">
        <v>13.27</v>
      </c>
      <c r="AI4" s="51">
        <v>12.95</v>
      </c>
      <c r="AJ4" s="52">
        <v>866.98</v>
      </c>
      <c r="AK4" s="52">
        <v>986.86</v>
      </c>
      <c r="AL4" s="52">
        <v>934.84</v>
      </c>
      <c r="AM4" s="52">
        <v>916.44</v>
      </c>
      <c r="AN4" s="52">
        <v>898.86</v>
      </c>
      <c r="AO4" s="52">
        <v>884.5</v>
      </c>
      <c r="AP4" s="53">
        <v>5148.45</v>
      </c>
      <c r="AQ4" s="53">
        <v>5763</v>
      </c>
      <c r="AR4" s="53">
        <v>5765.55</v>
      </c>
      <c r="AS4" s="53">
        <v>5783.4</v>
      </c>
      <c r="AT4" s="53">
        <v>5757.9</v>
      </c>
      <c r="AU4" s="53">
        <v>5806.35</v>
      </c>
      <c r="AV4" s="54">
        <v>6057</v>
      </c>
      <c r="AW4" s="54">
        <v>6780</v>
      </c>
      <c r="AX4" s="54">
        <v>6783</v>
      </c>
      <c r="AY4" s="54">
        <v>6804</v>
      </c>
      <c r="AZ4" s="54">
        <v>6774</v>
      </c>
      <c r="BA4" s="54">
        <v>6831</v>
      </c>
      <c r="BB4" s="55">
        <v>1194167</v>
      </c>
      <c r="BC4" s="55">
        <v>1391236</v>
      </c>
      <c r="BD4" s="55">
        <v>1337795</v>
      </c>
      <c r="BE4" s="55">
        <v>1329187</v>
      </c>
      <c r="BF4" s="55">
        <v>1322140</v>
      </c>
      <c r="BG4" s="55">
        <v>1322140</v>
      </c>
    </row>
    <row r="5" spans="1:59" ht="15.75" thickBot="1" x14ac:dyDescent="0.3">
      <c r="A5" s="44" t="s">
        <v>179</v>
      </c>
      <c r="B5" s="44" t="s">
        <v>180</v>
      </c>
      <c r="C5" s="45">
        <v>1</v>
      </c>
      <c r="D5" s="45">
        <v>1</v>
      </c>
      <c r="E5" s="45">
        <v>1</v>
      </c>
      <c r="F5" s="45">
        <v>1</v>
      </c>
      <c r="G5" s="45">
        <v>1</v>
      </c>
      <c r="H5" s="45">
        <v>1</v>
      </c>
      <c r="I5" s="46">
        <v>1</v>
      </c>
      <c r="J5" s="47">
        <v>0.2</v>
      </c>
      <c r="K5" s="47">
        <v>0.08</v>
      </c>
      <c r="L5" s="47">
        <v>0.08</v>
      </c>
      <c r="M5" s="47">
        <v>7.0000000000000007E-2</v>
      </c>
      <c r="N5" s="47">
        <v>7.0000000000000007E-2</v>
      </c>
      <c r="O5" s="47">
        <v>7.0000000000000007E-2</v>
      </c>
      <c r="P5" s="48">
        <v>85</v>
      </c>
      <c r="Q5" s="48">
        <v>0</v>
      </c>
      <c r="R5" s="49">
        <v>85</v>
      </c>
      <c r="S5" s="49">
        <v>85</v>
      </c>
      <c r="T5" s="49">
        <v>85</v>
      </c>
      <c r="U5" s="49">
        <v>85</v>
      </c>
      <c r="V5" s="49">
        <v>85</v>
      </c>
      <c r="W5" s="49">
        <v>85</v>
      </c>
      <c r="X5" s="50">
        <v>19.55</v>
      </c>
      <c r="Y5" s="50">
        <v>8.41</v>
      </c>
      <c r="Z5" s="50">
        <v>7.96</v>
      </c>
      <c r="AA5" s="50">
        <v>7.37</v>
      </c>
      <c r="AB5" s="50">
        <v>6.92</v>
      </c>
      <c r="AC5" s="50">
        <v>6.59</v>
      </c>
      <c r="AD5" s="51">
        <v>16.62</v>
      </c>
      <c r="AE5" s="51">
        <v>7.15</v>
      </c>
      <c r="AF5" s="51">
        <v>6.76</v>
      </c>
      <c r="AG5" s="51">
        <v>6.27</v>
      </c>
      <c r="AH5" s="51">
        <v>5.88</v>
      </c>
      <c r="AI5" s="51">
        <v>5.6</v>
      </c>
      <c r="AJ5" s="52">
        <v>482.59</v>
      </c>
      <c r="AK5" s="52">
        <v>217.29</v>
      </c>
      <c r="AL5" s="52">
        <v>203.7</v>
      </c>
      <c r="AM5" s="52">
        <v>190.44</v>
      </c>
      <c r="AN5" s="52">
        <v>177.49</v>
      </c>
      <c r="AO5" s="52">
        <v>169.76</v>
      </c>
      <c r="AP5" s="53">
        <v>2468.4</v>
      </c>
      <c r="AQ5" s="53">
        <v>2583.15</v>
      </c>
      <c r="AR5" s="53">
        <v>2560.1999999999998</v>
      </c>
      <c r="AS5" s="53">
        <v>2583.15</v>
      </c>
      <c r="AT5" s="53">
        <v>2565.3000000000002</v>
      </c>
      <c r="AU5" s="53">
        <v>2575.5</v>
      </c>
      <c r="AV5" s="54">
        <v>2904</v>
      </c>
      <c r="AW5" s="54">
        <v>3039</v>
      </c>
      <c r="AX5" s="54">
        <v>3012</v>
      </c>
      <c r="AY5" s="54">
        <v>3039</v>
      </c>
      <c r="AZ5" s="54">
        <v>3018</v>
      </c>
      <c r="BA5" s="54">
        <v>3030</v>
      </c>
      <c r="BB5" s="55">
        <v>3126757</v>
      </c>
      <c r="BC5" s="55">
        <v>953463</v>
      </c>
      <c r="BD5" s="55">
        <v>858135</v>
      </c>
      <c r="BE5" s="55">
        <v>762807</v>
      </c>
      <c r="BF5" s="55">
        <v>667479</v>
      </c>
      <c r="BG5" s="55">
        <v>619815</v>
      </c>
    </row>
    <row r="6" spans="1:59" ht="15.75" thickBot="1" x14ac:dyDescent="0.3">
      <c r="A6" s="44" t="s">
        <v>181</v>
      </c>
      <c r="B6" s="44" t="s">
        <v>103</v>
      </c>
      <c r="C6" s="45">
        <v>1</v>
      </c>
      <c r="D6" s="45">
        <v>1</v>
      </c>
      <c r="E6" s="45">
        <v>1</v>
      </c>
      <c r="F6" s="45">
        <v>1</v>
      </c>
      <c r="G6" s="45">
        <v>1</v>
      </c>
      <c r="H6" s="45">
        <v>1</v>
      </c>
      <c r="I6" s="46">
        <v>1</v>
      </c>
      <c r="J6" s="47">
        <v>0</v>
      </c>
      <c r="K6" s="47">
        <v>0</v>
      </c>
      <c r="L6" s="47">
        <v>0.14000000000000001</v>
      </c>
      <c r="M6" s="47">
        <v>0.27</v>
      </c>
      <c r="N6" s="47">
        <v>0.4</v>
      </c>
      <c r="O6" s="47">
        <v>0.52</v>
      </c>
      <c r="P6" s="48">
        <v>85</v>
      </c>
      <c r="Q6" s="48">
        <v>0</v>
      </c>
      <c r="R6" s="49">
        <v>85</v>
      </c>
      <c r="S6" s="49">
        <v>85</v>
      </c>
      <c r="T6" s="49">
        <v>85</v>
      </c>
      <c r="U6" s="49">
        <v>85</v>
      </c>
      <c r="V6" s="49">
        <v>85</v>
      </c>
      <c r="W6" s="49">
        <v>85</v>
      </c>
      <c r="X6" s="50">
        <v>0</v>
      </c>
      <c r="Y6" s="50">
        <v>0.21</v>
      </c>
      <c r="Z6" s="50">
        <v>13.79</v>
      </c>
      <c r="AA6" s="50">
        <v>26.89</v>
      </c>
      <c r="AB6" s="50">
        <v>39.75</v>
      </c>
      <c r="AC6" s="50">
        <v>51.63</v>
      </c>
      <c r="AD6" s="51">
        <v>0</v>
      </c>
      <c r="AE6" s="51">
        <v>0.18</v>
      </c>
      <c r="AF6" s="51">
        <v>11.72</v>
      </c>
      <c r="AG6" s="51">
        <v>22.86</v>
      </c>
      <c r="AH6" s="51">
        <v>33.79</v>
      </c>
      <c r="AI6" s="51">
        <v>43.89</v>
      </c>
      <c r="AJ6" s="52">
        <v>0</v>
      </c>
      <c r="AK6" s="52">
        <v>8.4700000000000006</v>
      </c>
      <c r="AL6" s="52">
        <v>562.54999999999995</v>
      </c>
      <c r="AM6" s="52">
        <v>1099.48</v>
      </c>
      <c r="AN6" s="52">
        <v>1619.28</v>
      </c>
      <c r="AO6" s="52">
        <v>2121.9299999999998</v>
      </c>
      <c r="AP6" s="53">
        <v>3681.44</v>
      </c>
      <c r="AQ6" s="53">
        <v>4074.05</v>
      </c>
      <c r="AR6" s="53">
        <v>4080.51</v>
      </c>
      <c r="AS6" s="53">
        <v>4088.76</v>
      </c>
      <c r="AT6" s="53">
        <v>4073.46</v>
      </c>
      <c r="AU6" s="53">
        <v>4109.92</v>
      </c>
      <c r="AV6" s="54">
        <v>4331.1000000000004</v>
      </c>
      <c r="AW6" s="54">
        <v>4793</v>
      </c>
      <c r="AX6" s="54">
        <v>4800.6000000000004</v>
      </c>
      <c r="AY6" s="54">
        <v>4810.3</v>
      </c>
      <c r="AZ6" s="54">
        <v>4792.3</v>
      </c>
      <c r="BA6" s="54">
        <v>4835.2</v>
      </c>
      <c r="BB6" s="55">
        <v>0</v>
      </c>
      <c r="BC6" s="55">
        <v>34232</v>
      </c>
      <c r="BD6" s="55">
        <v>2482862</v>
      </c>
      <c r="BE6" s="55">
        <v>4931492</v>
      </c>
      <c r="BF6" s="55">
        <v>7380122</v>
      </c>
      <c r="BG6" s="55">
        <v>9828753</v>
      </c>
    </row>
    <row r="7" spans="1:59" ht="15.75" thickBot="1" x14ac:dyDescent="0.3">
      <c r="A7" s="44" t="s">
        <v>182</v>
      </c>
      <c r="B7" s="44" t="s">
        <v>47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6">
        <v>1</v>
      </c>
      <c r="J7" s="47">
        <v>0.52</v>
      </c>
      <c r="K7" s="47">
        <v>0.4</v>
      </c>
      <c r="L7" s="47">
        <v>0.38</v>
      </c>
      <c r="M7" s="47">
        <v>0.35</v>
      </c>
      <c r="N7" s="47">
        <v>0.34</v>
      </c>
      <c r="O7" s="47">
        <v>0.32</v>
      </c>
      <c r="P7" s="48">
        <v>85</v>
      </c>
      <c r="Q7" s="48">
        <v>0</v>
      </c>
      <c r="R7" s="49">
        <v>85</v>
      </c>
      <c r="S7" s="49">
        <v>85</v>
      </c>
      <c r="T7" s="49">
        <v>85</v>
      </c>
      <c r="U7" s="49">
        <v>85</v>
      </c>
      <c r="V7" s="49">
        <v>85</v>
      </c>
      <c r="W7" s="49">
        <v>85</v>
      </c>
      <c r="X7" s="50">
        <v>51.62</v>
      </c>
      <c r="Y7" s="50">
        <v>39.75</v>
      </c>
      <c r="Z7" s="50">
        <v>37.64</v>
      </c>
      <c r="AA7" s="50">
        <v>35.479999999999997</v>
      </c>
      <c r="AB7" s="50">
        <v>33.630000000000003</v>
      </c>
      <c r="AC7" s="50">
        <v>32.11</v>
      </c>
      <c r="AD7" s="51">
        <v>43.88</v>
      </c>
      <c r="AE7" s="51">
        <v>33.79</v>
      </c>
      <c r="AF7" s="51">
        <v>31.99</v>
      </c>
      <c r="AG7" s="51">
        <v>30.16</v>
      </c>
      <c r="AH7" s="51">
        <v>28.59</v>
      </c>
      <c r="AI7" s="51">
        <v>27.3</v>
      </c>
      <c r="AJ7" s="52">
        <v>2657.62</v>
      </c>
      <c r="AK7" s="52">
        <v>2290.7199999999998</v>
      </c>
      <c r="AL7" s="52">
        <v>2169.98</v>
      </c>
      <c r="AM7" s="52">
        <v>2051.87</v>
      </c>
      <c r="AN7" s="52">
        <v>1936.43</v>
      </c>
      <c r="AO7" s="52">
        <v>1864.6</v>
      </c>
      <c r="AP7" s="53">
        <v>5148.45</v>
      </c>
      <c r="AQ7" s="53">
        <v>5763</v>
      </c>
      <c r="AR7" s="53">
        <v>5765.55</v>
      </c>
      <c r="AS7" s="53">
        <v>5783.4</v>
      </c>
      <c r="AT7" s="53">
        <v>5757.9</v>
      </c>
      <c r="AU7" s="53">
        <v>5806.35</v>
      </c>
      <c r="AV7" s="54">
        <v>6057</v>
      </c>
      <c r="AW7" s="54">
        <v>6780</v>
      </c>
      <c r="AX7" s="54">
        <v>6783</v>
      </c>
      <c r="AY7" s="54">
        <v>6804</v>
      </c>
      <c r="AZ7" s="54">
        <v>6774</v>
      </c>
      <c r="BA7" s="54">
        <v>6831</v>
      </c>
      <c r="BB7" s="55">
        <v>14399394</v>
      </c>
      <c r="BC7" s="55">
        <v>8867632</v>
      </c>
      <c r="BD7" s="55">
        <v>7925793</v>
      </c>
      <c r="BE7" s="55">
        <v>6983960</v>
      </c>
      <c r="BF7" s="55">
        <v>6042121</v>
      </c>
      <c r="BG7" s="55">
        <v>5571200</v>
      </c>
    </row>
    <row r="8" spans="1:59" ht="15.75" thickBot="1" x14ac:dyDescent="0.3">
      <c r="A8" s="44" t="s">
        <v>183</v>
      </c>
      <c r="B8" s="44" t="s">
        <v>124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6">
        <v>1</v>
      </c>
      <c r="J8" s="47">
        <v>0.28999999999999998</v>
      </c>
      <c r="K8" s="47">
        <v>0.3</v>
      </c>
      <c r="L8" s="47">
        <v>0.28999999999999998</v>
      </c>
      <c r="M8" s="47">
        <v>0.28000000000000003</v>
      </c>
      <c r="N8" s="47">
        <v>0.28000000000000003</v>
      </c>
      <c r="O8" s="47">
        <v>0.27</v>
      </c>
      <c r="P8" s="48">
        <v>85</v>
      </c>
      <c r="Q8" s="48">
        <v>0</v>
      </c>
      <c r="R8" s="49">
        <v>85</v>
      </c>
      <c r="S8" s="49">
        <v>85</v>
      </c>
      <c r="T8" s="49">
        <v>85</v>
      </c>
      <c r="U8" s="49">
        <v>85</v>
      </c>
      <c r="V8" s="49">
        <v>85</v>
      </c>
      <c r="W8" s="49">
        <v>85</v>
      </c>
      <c r="X8" s="50">
        <v>29.49</v>
      </c>
      <c r="Y8" s="50">
        <v>30.07</v>
      </c>
      <c r="Z8" s="50">
        <v>28.85</v>
      </c>
      <c r="AA8" s="50">
        <v>28.35</v>
      </c>
      <c r="AB8" s="50">
        <v>28.01</v>
      </c>
      <c r="AC8" s="50">
        <v>27.32</v>
      </c>
      <c r="AD8" s="51">
        <v>25.06</v>
      </c>
      <c r="AE8" s="51">
        <v>25.56</v>
      </c>
      <c r="AF8" s="51">
        <v>24.53</v>
      </c>
      <c r="AG8" s="51">
        <v>24.1</v>
      </c>
      <c r="AH8" s="51">
        <v>23.81</v>
      </c>
      <c r="AI8" s="51">
        <v>23.22</v>
      </c>
      <c r="AJ8" s="52">
        <v>1085.48</v>
      </c>
      <c r="AK8" s="52">
        <v>1225.1300000000001</v>
      </c>
      <c r="AL8" s="52">
        <v>1177.3499999999999</v>
      </c>
      <c r="AM8" s="52">
        <v>1159.17</v>
      </c>
      <c r="AN8" s="52">
        <v>1140.96</v>
      </c>
      <c r="AO8" s="52">
        <v>1122.77</v>
      </c>
      <c r="AP8" s="53">
        <v>3681.44</v>
      </c>
      <c r="AQ8" s="53">
        <v>4074.05</v>
      </c>
      <c r="AR8" s="53">
        <v>4080.51</v>
      </c>
      <c r="AS8" s="53">
        <v>4088.76</v>
      </c>
      <c r="AT8" s="53">
        <v>4073.46</v>
      </c>
      <c r="AU8" s="53">
        <v>4109.92</v>
      </c>
      <c r="AV8" s="54">
        <v>4331.1000000000004</v>
      </c>
      <c r="AW8" s="54">
        <v>4793</v>
      </c>
      <c r="AX8" s="54">
        <v>4800.6000000000004</v>
      </c>
      <c r="AY8" s="54">
        <v>4810.3</v>
      </c>
      <c r="AZ8" s="54">
        <v>4792.3</v>
      </c>
      <c r="BA8" s="54">
        <v>4835.2</v>
      </c>
      <c r="BB8" s="55">
        <v>2252652</v>
      </c>
      <c r="BC8" s="55">
        <v>2417575</v>
      </c>
      <c r="BD8" s="55">
        <v>2393575</v>
      </c>
      <c r="BE8" s="55">
        <v>2393575</v>
      </c>
      <c r="BF8" s="55">
        <v>2393575</v>
      </c>
      <c r="BG8" s="55">
        <v>2393575</v>
      </c>
    </row>
    <row r="9" spans="1:59" ht="15.75" thickBot="1" x14ac:dyDescent="0.3">
      <c r="A9" s="44" t="s">
        <v>184</v>
      </c>
      <c r="B9" s="44" t="s">
        <v>127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6">
        <v>1</v>
      </c>
      <c r="J9" s="47">
        <v>1.21</v>
      </c>
      <c r="K9" s="47">
        <v>0.9</v>
      </c>
      <c r="L9" s="47">
        <v>0.83</v>
      </c>
      <c r="M9" s="47">
        <v>0.75</v>
      </c>
      <c r="N9" s="47">
        <v>0.69</v>
      </c>
      <c r="O9" s="47">
        <v>0.64</v>
      </c>
      <c r="P9" s="48">
        <v>85</v>
      </c>
      <c r="Q9" s="48">
        <v>0</v>
      </c>
      <c r="R9" s="49">
        <v>85</v>
      </c>
      <c r="S9" s="49">
        <v>85</v>
      </c>
      <c r="T9" s="49">
        <v>85</v>
      </c>
      <c r="U9" s="49">
        <v>85</v>
      </c>
      <c r="V9" s="49">
        <v>85</v>
      </c>
      <c r="W9" s="49">
        <v>85</v>
      </c>
      <c r="X9" s="50">
        <v>121.39</v>
      </c>
      <c r="Y9" s="50">
        <v>89.86</v>
      </c>
      <c r="Z9" s="50">
        <v>82.5</v>
      </c>
      <c r="AA9" s="50">
        <v>75.319999999999993</v>
      </c>
      <c r="AB9" s="50">
        <v>68.73</v>
      </c>
      <c r="AC9" s="50">
        <v>64.27</v>
      </c>
      <c r="AD9" s="51">
        <v>103.18</v>
      </c>
      <c r="AE9" s="51">
        <v>76.38</v>
      </c>
      <c r="AF9" s="51">
        <v>70.13</v>
      </c>
      <c r="AG9" s="51">
        <v>64.02</v>
      </c>
      <c r="AH9" s="51">
        <v>58.42</v>
      </c>
      <c r="AI9" s="51">
        <v>54.63</v>
      </c>
      <c r="AJ9" s="52">
        <v>4468.78</v>
      </c>
      <c r="AK9" s="52">
        <v>3660.95</v>
      </c>
      <c r="AL9" s="52">
        <v>3366.52</v>
      </c>
      <c r="AM9" s="52">
        <v>3079.47</v>
      </c>
      <c r="AN9" s="52">
        <v>2799.8</v>
      </c>
      <c r="AO9" s="52">
        <v>2641.35</v>
      </c>
      <c r="AP9" s="53">
        <v>3681.44</v>
      </c>
      <c r="AQ9" s="53">
        <v>4074.05</v>
      </c>
      <c r="AR9" s="53">
        <v>4080.51</v>
      </c>
      <c r="AS9" s="53">
        <v>4088.76</v>
      </c>
      <c r="AT9" s="53">
        <v>4073.46</v>
      </c>
      <c r="AU9" s="53">
        <v>4109.92</v>
      </c>
      <c r="AV9" s="54">
        <v>4331.1000000000004</v>
      </c>
      <c r="AW9" s="54">
        <v>4793</v>
      </c>
      <c r="AX9" s="54">
        <v>4800.6000000000004</v>
      </c>
      <c r="AY9" s="54">
        <v>4810.3</v>
      </c>
      <c r="AZ9" s="54">
        <v>4792.3</v>
      </c>
      <c r="BA9" s="54">
        <v>4835.2</v>
      </c>
      <c r="BB9" s="55">
        <v>14926854</v>
      </c>
      <c r="BC9" s="55">
        <v>11210458</v>
      </c>
      <c r="BD9" s="55">
        <v>10169831</v>
      </c>
      <c r="BE9" s="55">
        <v>9129212</v>
      </c>
      <c r="BF9" s="55">
        <v>8088585</v>
      </c>
      <c r="BG9" s="55">
        <v>7568270</v>
      </c>
    </row>
    <row r="10" spans="1:59" ht="15.75" thickBot="1" x14ac:dyDescent="0.3">
      <c r="A10" s="44" t="s">
        <v>185</v>
      </c>
      <c r="B10" s="44" t="s">
        <v>80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6">
        <v>1</v>
      </c>
      <c r="J10" s="47">
        <v>2.56</v>
      </c>
      <c r="K10" s="47">
        <v>2.67</v>
      </c>
      <c r="L10" s="47">
        <v>3.02</v>
      </c>
      <c r="M10" s="47">
        <v>3.33</v>
      </c>
      <c r="N10" s="47">
        <v>3.67</v>
      </c>
      <c r="O10" s="47">
        <v>3.82</v>
      </c>
      <c r="P10" s="48">
        <v>85</v>
      </c>
      <c r="Q10" s="48">
        <v>0</v>
      </c>
      <c r="R10" s="49">
        <v>85</v>
      </c>
      <c r="S10" s="49">
        <v>85</v>
      </c>
      <c r="T10" s="49">
        <v>85</v>
      </c>
      <c r="U10" s="49">
        <v>85</v>
      </c>
      <c r="V10" s="49">
        <v>85</v>
      </c>
      <c r="W10" s="49">
        <v>85</v>
      </c>
      <c r="X10" s="50">
        <v>256.14</v>
      </c>
      <c r="Y10" s="50">
        <v>266.93</v>
      </c>
      <c r="Z10" s="50">
        <v>302.41000000000003</v>
      </c>
      <c r="AA10" s="50">
        <v>332.96</v>
      </c>
      <c r="AB10" s="50">
        <v>367.12</v>
      </c>
      <c r="AC10" s="50">
        <v>381.54</v>
      </c>
      <c r="AD10" s="51">
        <v>217.72</v>
      </c>
      <c r="AE10" s="51">
        <v>226.89</v>
      </c>
      <c r="AF10" s="51">
        <v>257.05</v>
      </c>
      <c r="AG10" s="51">
        <v>283.02</v>
      </c>
      <c r="AH10" s="51">
        <v>312.05</v>
      </c>
      <c r="AI10" s="51">
        <v>324.31</v>
      </c>
      <c r="AJ10" s="52">
        <v>6322.48</v>
      </c>
      <c r="AK10" s="52">
        <v>6895.32</v>
      </c>
      <c r="AL10" s="52">
        <v>7742.23</v>
      </c>
      <c r="AM10" s="52">
        <v>8600.9</v>
      </c>
      <c r="AN10" s="52">
        <v>9417.68</v>
      </c>
      <c r="AO10" s="52">
        <v>9826.4599999999991</v>
      </c>
      <c r="AP10" s="53">
        <v>2468.4</v>
      </c>
      <c r="AQ10" s="53">
        <v>2583.15</v>
      </c>
      <c r="AR10" s="53">
        <v>2560.1999999999998</v>
      </c>
      <c r="AS10" s="53">
        <v>2583.15</v>
      </c>
      <c r="AT10" s="53">
        <v>2565.3000000000002</v>
      </c>
      <c r="AU10" s="53">
        <v>2575.5</v>
      </c>
      <c r="AV10" s="54">
        <v>2904</v>
      </c>
      <c r="AW10" s="54">
        <v>3039</v>
      </c>
      <c r="AX10" s="54">
        <v>3012</v>
      </c>
      <c r="AY10" s="54">
        <v>3039</v>
      </c>
      <c r="AZ10" s="54">
        <v>3018</v>
      </c>
      <c r="BA10" s="54">
        <v>3030</v>
      </c>
      <c r="BB10" s="55">
        <v>23218029.52</v>
      </c>
      <c r="BC10" s="55">
        <v>19144474</v>
      </c>
      <c r="BD10" s="55">
        <v>21836326</v>
      </c>
      <c r="BE10" s="55">
        <v>24506438</v>
      </c>
      <c r="BF10" s="55">
        <v>27173836</v>
      </c>
      <c r="BG10" s="55">
        <v>29745074</v>
      </c>
    </row>
    <row r="11" spans="1:59" ht="15.75" thickBot="1" x14ac:dyDescent="0.3">
      <c r="A11" s="44" t="s">
        <v>186</v>
      </c>
      <c r="B11" s="44" t="s">
        <v>187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6">
        <v>1</v>
      </c>
      <c r="J11" s="47">
        <v>0.54</v>
      </c>
      <c r="K11" s="47">
        <v>0.24</v>
      </c>
      <c r="L11" s="47">
        <v>0.23</v>
      </c>
      <c r="M11" s="47">
        <v>0.21</v>
      </c>
      <c r="N11" s="47">
        <v>0.2</v>
      </c>
      <c r="O11" s="47">
        <v>0.19</v>
      </c>
      <c r="P11" s="48">
        <v>75</v>
      </c>
      <c r="Q11" s="48">
        <v>0</v>
      </c>
      <c r="R11" s="49">
        <v>75</v>
      </c>
      <c r="S11" s="49">
        <v>75</v>
      </c>
      <c r="T11" s="49">
        <v>75</v>
      </c>
      <c r="U11" s="49">
        <v>75</v>
      </c>
      <c r="V11" s="49">
        <v>75</v>
      </c>
      <c r="W11" s="49">
        <v>75</v>
      </c>
      <c r="X11" s="50">
        <v>53.87</v>
      </c>
      <c r="Y11" s="50">
        <v>23.91</v>
      </c>
      <c r="Z11" s="50">
        <v>22.62</v>
      </c>
      <c r="AA11" s="50">
        <v>20.96</v>
      </c>
      <c r="AB11" s="50">
        <v>19.670000000000002</v>
      </c>
      <c r="AC11" s="50">
        <v>18.739999999999998</v>
      </c>
      <c r="AD11" s="51">
        <v>40.4</v>
      </c>
      <c r="AE11" s="51">
        <v>17.93</v>
      </c>
      <c r="AF11" s="51">
        <v>16.96</v>
      </c>
      <c r="AG11" s="51">
        <v>15.72</v>
      </c>
      <c r="AH11" s="51">
        <v>14.75</v>
      </c>
      <c r="AI11" s="51">
        <v>14.05</v>
      </c>
      <c r="AJ11" s="52">
        <v>1173.29</v>
      </c>
      <c r="AK11" s="52">
        <v>545.04</v>
      </c>
      <c r="AL11" s="52">
        <v>510.97</v>
      </c>
      <c r="AM11" s="52">
        <v>477.7</v>
      </c>
      <c r="AN11" s="52">
        <v>445.22</v>
      </c>
      <c r="AO11" s="52">
        <v>425.83</v>
      </c>
      <c r="AP11" s="53">
        <v>2178</v>
      </c>
      <c r="AQ11" s="53">
        <v>2279.25</v>
      </c>
      <c r="AR11" s="53">
        <v>2259</v>
      </c>
      <c r="AS11" s="53">
        <v>2279.25</v>
      </c>
      <c r="AT11" s="53">
        <v>2263.5</v>
      </c>
      <c r="AU11" s="53">
        <v>2272.5</v>
      </c>
      <c r="AV11" s="54">
        <v>2904</v>
      </c>
      <c r="AW11" s="54">
        <v>3039</v>
      </c>
      <c r="AX11" s="54">
        <v>3012</v>
      </c>
      <c r="AY11" s="54">
        <v>3039</v>
      </c>
      <c r="AZ11" s="54">
        <v>3018</v>
      </c>
      <c r="BA11" s="54">
        <v>3030</v>
      </c>
      <c r="BB11" s="55">
        <v>3126757</v>
      </c>
      <c r="BC11" s="55">
        <v>953463</v>
      </c>
      <c r="BD11" s="55">
        <v>858135</v>
      </c>
      <c r="BE11" s="55">
        <v>762807</v>
      </c>
      <c r="BF11" s="55">
        <v>667479</v>
      </c>
      <c r="BG11" s="55">
        <v>619815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D220-52CC-4E72-8711-AC893B8547F7}">
  <dimension ref="A1:BG22"/>
  <sheetViews>
    <sheetView workbookViewId="0">
      <selection activeCell="D33" sqref="D33"/>
    </sheetView>
  </sheetViews>
  <sheetFormatPr defaultRowHeight="15" x14ac:dyDescent="0.25"/>
  <cols>
    <col min="1" max="1" width="14.7109375" bestFit="1" customWidth="1"/>
    <col min="2" max="2" width="33.85546875" bestFit="1" customWidth="1"/>
    <col min="3" max="8" width="6.28515625" bestFit="1" customWidth="1"/>
    <col min="9" max="9" width="16.28515625" bestFit="1" customWidth="1"/>
    <col min="10" max="15" width="6.28515625" bestFit="1" customWidth="1"/>
    <col min="16" max="16" width="15.140625" bestFit="1" customWidth="1"/>
    <col min="17" max="17" width="13.85546875" bestFit="1" customWidth="1"/>
    <col min="18" max="24" width="7.42578125" bestFit="1" customWidth="1"/>
    <col min="25" max="29" width="8.5703125" bestFit="1" customWidth="1"/>
    <col min="30" max="30" width="7.42578125" bestFit="1" customWidth="1"/>
    <col min="31" max="35" width="8.5703125" bestFit="1" customWidth="1"/>
    <col min="36" max="53" width="11.42578125" bestFit="1" customWidth="1"/>
    <col min="54" max="59" width="14.42578125" bestFit="1" customWidth="1"/>
  </cols>
  <sheetData>
    <row r="1" spans="1:59" ht="15.75" thickBot="1" x14ac:dyDescent="0.3">
      <c r="A1" s="197"/>
      <c r="B1" s="199"/>
      <c r="C1" s="197" t="s">
        <v>130</v>
      </c>
      <c r="D1" s="198"/>
      <c r="E1" s="198"/>
      <c r="F1" s="198"/>
      <c r="G1" s="198"/>
      <c r="H1" s="199"/>
      <c r="I1" s="7" t="s">
        <v>175</v>
      </c>
      <c r="J1" s="197" t="s">
        <v>176</v>
      </c>
      <c r="K1" s="198"/>
      <c r="L1" s="198"/>
      <c r="M1" s="198"/>
      <c r="N1" s="198"/>
      <c r="O1" s="199"/>
      <c r="P1" s="197" t="s">
        <v>133</v>
      </c>
      <c r="Q1" s="199"/>
      <c r="R1" s="197" t="s">
        <v>134</v>
      </c>
      <c r="S1" s="198"/>
      <c r="T1" s="198"/>
      <c r="U1" s="198"/>
      <c r="V1" s="198"/>
      <c r="W1" s="199"/>
      <c r="X1" s="197" t="s">
        <v>135</v>
      </c>
      <c r="Y1" s="198"/>
      <c r="Z1" s="198"/>
      <c r="AA1" s="198"/>
      <c r="AB1" s="198"/>
      <c r="AC1" s="199"/>
      <c r="AD1" s="197" t="s">
        <v>136</v>
      </c>
      <c r="AE1" s="198"/>
      <c r="AF1" s="198"/>
      <c r="AG1" s="198"/>
      <c r="AH1" s="198"/>
      <c r="AI1" s="199"/>
      <c r="AJ1" s="197" t="s">
        <v>177</v>
      </c>
      <c r="AK1" s="198"/>
      <c r="AL1" s="198"/>
      <c r="AM1" s="198"/>
      <c r="AN1" s="198"/>
      <c r="AO1" s="199"/>
      <c r="AP1" s="197" t="s">
        <v>138</v>
      </c>
      <c r="AQ1" s="198"/>
      <c r="AR1" s="198"/>
      <c r="AS1" s="198"/>
      <c r="AT1" s="198"/>
      <c r="AU1" s="199"/>
      <c r="AV1" s="197" t="s">
        <v>139</v>
      </c>
      <c r="AW1" s="198"/>
      <c r="AX1" s="198"/>
      <c r="AY1" s="198"/>
      <c r="AZ1" s="198"/>
      <c r="BA1" s="199"/>
      <c r="BB1" s="197" t="s">
        <v>140</v>
      </c>
      <c r="BC1" s="198"/>
      <c r="BD1" s="198"/>
      <c r="BE1" s="198"/>
      <c r="BF1" s="198"/>
      <c r="BG1" s="199"/>
    </row>
    <row r="2" spans="1:59" ht="15.75" thickBot="1" x14ac:dyDescent="0.3">
      <c r="A2" s="7" t="s">
        <v>141</v>
      </c>
      <c r="B2" s="7" t="s">
        <v>142</v>
      </c>
      <c r="C2" s="7">
        <v>2025</v>
      </c>
      <c r="D2" s="7">
        <v>2026</v>
      </c>
      <c r="E2" s="7">
        <v>2027</v>
      </c>
      <c r="F2" s="7">
        <v>2028</v>
      </c>
      <c r="G2" s="7">
        <v>2029</v>
      </c>
      <c r="H2" s="7">
        <v>2030</v>
      </c>
      <c r="I2" s="7" t="s">
        <v>143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 t="s">
        <v>144</v>
      </c>
      <c r="Q2" s="7" t="s">
        <v>145</v>
      </c>
      <c r="R2" s="7">
        <v>2025</v>
      </c>
      <c r="S2" s="7">
        <v>2026</v>
      </c>
      <c r="T2" s="7">
        <v>2027</v>
      </c>
      <c r="U2" s="7">
        <v>2028</v>
      </c>
      <c r="V2" s="7">
        <v>2029</v>
      </c>
      <c r="W2" s="7">
        <v>2030</v>
      </c>
      <c r="X2" s="7">
        <v>2025</v>
      </c>
      <c r="Y2" s="7">
        <v>2026</v>
      </c>
      <c r="Z2" s="7">
        <v>2027</v>
      </c>
      <c r="AA2" s="7">
        <v>2028</v>
      </c>
      <c r="AB2" s="7">
        <v>2029</v>
      </c>
      <c r="AC2" s="7">
        <v>2030</v>
      </c>
      <c r="AD2" s="7">
        <v>2025</v>
      </c>
      <c r="AE2" s="7">
        <v>2026</v>
      </c>
      <c r="AF2" s="7">
        <v>2027</v>
      </c>
      <c r="AG2" s="7">
        <v>2028</v>
      </c>
      <c r="AH2" s="7">
        <v>2029</v>
      </c>
      <c r="AI2" s="7">
        <v>2030</v>
      </c>
      <c r="AJ2" s="7">
        <v>2025</v>
      </c>
      <c r="AK2" s="7">
        <v>2026</v>
      </c>
      <c r="AL2" s="7">
        <v>2027</v>
      </c>
      <c r="AM2" s="7">
        <v>2028</v>
      </c>
      <c r="AN2" s="7">
        <v>2029</v>
      </c>
      <c r="AO2" s="7">
        <v>2030</v>
      </c>
      <c r="AP2" s="7">
        <v>2025</v>
      </c>
      <c r="AQ2" s="7">
        <v>2026</v>
      </c>
      <c r="AR2" s="7">
        <v>2027</v>
      </c>
      <c r="AS2" s="7">
        <v>2028</v>
      </c>
      <c r="AT2" s="7">
        <v>2029</v>
      </c>
      <c r="AU2" s="7">
        <v>2030</v>
      </c>
      <c r="AV2" s="7">
        <v>2025</v>
      </c>
      <c r="AW2" s="7">
        <v>2026</v>
      </c>
      <c r="AX2" s="7">
        <v>2027</v>
      </c>
      <c r="AY2" s="7">
        <v>2028</v>
      </c>
      <c r="AZ2" s="7">
        <v>2029</v>
      </c>
      <c r="BA2" s="7">
        <v>2030</v>
      </c>
      <c r="BB2" s="7">
        <v>2025</v>
      </c>
      <c r="BC2" s="7">
        <v>2026</v>
      </c>
      <c r="BD2" s="7">
        <v>2027</v>
      </c>
      <c r="BE2" s="7">
        <v>2028</v>
      </c>
      <c r="BF2" s="7">
        <v>2029</v>
      </c>
      <c r="BG2" s="7">
        <v>2030</v>
      </c>
    </row>
    <row r="3" spans="1:59" ht="15.75" thickBot="1" x14ac:dyDescent="0.3">
      <c r="A3" s="7" t="s">
        <v>146</v>
      </c>
      <c r="B3" s="7"/>
      <c r="C3" s="8">
        <v>0.95</v>
      </c>
      <c r="D3" s="8">
        <v>0.95</v>
      </c>
      <c r="E3" s="8">
        <v>0.95</v>
      </c>
      <c r="F3" s="8">
        <v>0.95</v>
      </c>
      <c r="G3" s="8">
        <v>0.95</v>
      </c>
      <c r="H3" s="8">
        <v>0.95</v>
      </c>
      <c r="I3" s="9">
        <v>18</v>
      </c>
      <c r="J3" s="10">
        <v>6.31</v>
      </c>
      <c r="K3" s="10">
        <v>7.26</v>
      </c>
      <c r="L3" s="10">
        <v>8.14</v>
      </c>
      <c r="M3" s="10">
        <v>8.65</v>
      </c>
      <c r="N3" s="10">
        <v>9.17</v>
      </c>
      <c r="O3" s="10">
        <v>9.31</v>
      </c>
      <c r="P3" s="11">
        <v>78.95</v>
      </c>
      <c r="Q3" s="11">
        <v>16.95</v>
      </c>
      <c r="R3" s="12">
        <v>78.95</v>
      </c>
      <c r="S3" s="12">
        <v>78.95</v>
      </c>
      <c r="T3" s="12">
        <v>78.95</v>
      </c>
      <c r="U3" s="12">
        <v>78.95</v>
      </c>
      <c r="V3" s="12">
        <v>78.95</v>
      </c>
      <c r="W3" s="12">
        <v>78.95</v>
      </c>
      <c r="X3" s="13" t="s">
        <v>147</v>
      </c>
      <c r="Y3" s="13" t="s">
        <v>188</v>
      </c>
      <c r="Z3" s="13" t="s">
        <v>188</v>
      </c>
      <c r="AA3" s="13" t="s">
        <v>188</v>
      </c>
      <c r="AB3" s="13" t="s">
        <v>188</v>
      </c>
      <c r="AC3" s="13" t="s">
        <v>188</v>
      </c>
      <c r="AD3" s="14" t="s">
        <v>147</v>
      </c>
      <c r="AE3" s="14" t="s">
        <v>188</v>
      </c>
      <c r="AF3" s="14" t="s">
        <v>188</v>
      </c>
      <c r="AG3" s="14" t="s">
        <v>188</v>
      </c>
      <c r="AH3" s="14" t="s">
        <v>188</v>
      </c>
      <c r="AI3" s="14" t="s">
        <v>188</v>
      </c>
      <c r="AJ3" s="15">
        <v>24451.46</v>
      </c>
      <c r="AK3" s="15">
        <v>31232.74</v>
      </c>
      <c r="AL3" s="15">
        <v>36286.800000000003</v>
      </c>
      <c r="AM3" s="15">
        <v>39458.57</v>
      </c>
      <c r="AN3" s="15">
        <v>42464.68</v>
      </c>
      <c r="AO3" s="15">
        <v>43755.72</v>
      </c>
      <c r="AP3" s="16">
        <v>62627.17</v>
      </c>
      <c r="AQ3" s="16">
        <v>68435.850000000006</v>
      </c>
      <c r="AR3" s="16">
        <v>68291.100000000006</v>
      </c>
      <c r="AS3" s="16">
        <v>68605.119999999995</v>
      </c>
      <c r="AT3" s="16">
        <v>68262.22</v>
      </c>
      <c r="AU3" s="16">
        <v>68753.850000000006</v>
      </c>
      <c r="AV3" s="17">
        <v>75172.5</v>
      </c>
      <c r="AW3" s="17">
        <v>82177</v>
      </c>
      <c r="AX3" s="17">
        <v>82014</v>
      </c>
      <c r="AY3" s="17">
        <v>82383.5</v>
      </c>
      <c r="AZ3" s="17">
        <v>81975.5</v>
      </c>
      <c r="BA3" s="17">
        <v>82571</v>
      </c>
      <c r="BB3" s="18">
        <v>5236065</v>
      </c>
      <c r="BC3" s="18">
        <v>6433338</v>
      </c>
      <c r="BD3" s="18">
        <v>7262880</v>
      </c>
      <c r="BE3" s="18">
        <v>7881075</v>
      </c>
      <c r="BF3" s="18">
        <v>8490477</v>
      </c>
      <c r="BG3" s="18">
        <v>8805087</v>
      </c>
    </row>
    <row r="4" spans="1:59" ht="15.75" thickBot="1" x14ac:dyDescent="0.3">
      <c r="A4" s="19" t="s">
        <v>189</v>
      </c>
      <c r="B4" s="19" t="s">
        <v>190</v>
      </c>
      <c r="C4" s="20">
        <v>1</v>
      </c>
      <c r="D4" s="20">
        <v>1</v>
      </c>
      <c r="E4" s="20">
        <v>1</v>
      </c>
      <c r="F4" s="20">
        <v>1</v>
      </c>
      <c r="G4" s="20">
        <v>1</v>
      </c>
      <c r="H4" s="20">
        <v>1</v>
      </c>
      <c r="I4" s="21">
        <v>1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3">
        <v>90</v>
      </c>
      <c r="Q4" s="23">
        <v>0</v>
      </c>
      <c r="R4" s="24">
        <v>90</v>
      </c>
      <c r="S4" s="24">
        <v>90</v>
      </c>
      <c r="T4" s="24">
        <v>90</v>
      </c>
      <c r="U4" s="24">
        <v>90</v>
      </c>
      <c r="V4" s="24">
        <v>90</v>
      </c>
      <c r="W4" s="24">
        <v>90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  <c r="AI4" s="26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8">
        <v>2613.6</v>
      </c>
      <c r="AQ4" s="28">
        <v>2735.1</v>
      </c>
      <c r="AR4" s="28">
        <v>2710.8</v>
      </c>
      <c r="AS4" s="28">
        <v>2735.1</v>
      </c>
      <c r="AT4" s="28">
        <v>2716.2</v>
      </c>
      <c r="AU4" s="28">
        <v>2727</v>
      </c>
      <c r="AV4" s="29">
        <v>2904</v>
      </c>
      <c r="AW4" s="29">
        <v>3039</v>
      </c>
      <c r="AX4" s="29">
        <v>3012</v>
      </c>
      <c r="AY4" s="29">
        <v>3039</v>
      </c>
      <c r="AZ4" s="29">
        <v>3018</v>
      </c>
      <c r="BA4" s="29">
        <v>3030</v>
      </c>
      <c r="BB4" s="30">
        <v>0</v>
      </c>
      <c r="BC4" s="30">
        <v>0</v>
      </c>
      <c r="BD4" s="30">
        <v>0</v>
      </c>
      <c r="BE4" s="30">
        <v>0</v>
      </c>
      <c r="BF4" s="30">
        <v>0</v>
      </c>
      <c r="BG4" s="30">
        <v>0</v>
      </c>
    </row>
    <row r="5" spans="1:59" ht="15.75" thickBot="1" x14ac:dyDescent="0.3">
      <c r="A5" s="19" t="s">
        <v>191</v>
      </c>
      <c r="B5" s="19" t="s">
        <v>97</v>
      </c>
      <c r="C5" s="20">
        <v>1</v>
      </c>
      <c r="D5" s="20">
        <v>1</v>
      </c>
      <c r="E5" s="20">
        <v>1</v>
      </c>
      <c r="F5" s="20">
        <v>1</v>
      </c>
      <c r="G5" s="20">
        <v>1</v>
      </c>
      <c r="H5" s="20">
        <v>1</v>
      </c>
      <c r="I5" s="21">
        <v>1</v>
      </c>
      <c r="J5" s="22">
        <v>0.37</v>
      </c>
      <c r="K5" s="22">
        <v>0.54</v>
      </c>
      <c r="L5" s="22">
        <v>1.1100000000000001</v>
      </c>
      <c r="M5" s="22">
        <v>1.28</v>
      </c>
      <c r="N5" s="22">
        <v>1.45</v>
      </c>
      <c r="O5" s="22">
        <v>1.61</v>
      </c>
      <c r="P5" s="23">
        <v>90</v>
      </c>
      <c r="Q5" s="23">
        <v>9</v>
      </c>
      <c r="R5" s="24">
        <v>90</v>
      </c>
      <c r="S5" s="24">
        <v>90</v>
      </c>
      <c r="T5" s="24">
        <v>90</v>
      </c>
      <c r="U5" s="24">
        <v>90</v>
      </c>
      <c r="V5" s="24">
        <v>90</v>
      </c>
      <c r="W5" s="24">
        <v>90</v>
      </c>
      <c r="X5" s="25">
        <v>37.04</v>
      </c>
      <c r="Y5" s="25">
        <v>53.86</v>
      </c>
      <c r="Z5" s="25">
        <v>111.19</v>
      </c>
      <c r="AA5" s="25">
        <v>127.57</v>
      </c>
      <c r="AB5" s="25">
        <v>145.34</v>
      </c>
      <c r="AC5" s="25">
        <v>160.97999999999999</v>
      </c>
      <c r="AD5" s="26">
        <v>33.340000000000003</v>
      </c>
      <c r="AE5" s="26">
        <v>48.47</v>
      </c>
      <c r="AF5" s="26">
        <v>100.07</v>
      </c>
      <c r="AG5" s="26">
        <v>114.81</v>
      </c>
      <c r="AH5" s="26">
        <v>130.81</v>
      </c>
      <c r="AI5" s="26">
        <v>144.88</v>
      </c>
      <c r="AJ5" s="27">
        <v>968.19</v>
      </c>
      <c r="AK5" s="27">
        <v>1473.15</v>
      </c>
      <c r="AL5" s="27">
        <v>3014.19</v>
      </c>
      <c r="AM5" s="27">
        <v>3489.18</v>
      </c>
      <c r="AN5" s="27">
        <v>3947.8</v>
      </c>
      <c r="AO5" s="27">
        <v>4390</v>
      </c>
      <c r="AP5" s="28">
        <v>2613.6</v>
      </c>
      <c r="AQ5" s="28">
        <v>2735.1</v>
      </c>
      <c r="AR5" s="28">
        <v>2710.8</v>
      </c>
      <c r="AS5" s="28">
        <v>2735.1</v>
      </c>
      <c r="AT5" s="28">
        <v>2716.2</v>
      </c>
      <c r="AU5" s="28">
        <v>2727</v>
      </c>
      <c r="AV5" s="29">
        <v>2904</v>
      </c>
      <c r="AW5" s="29">
        <v>3039</v>
      </c>
      <c r="AX5" s="29">
        <v>3012</v>
      </c>
      <c r="AY5" s="29">
        <v>3039</v>
      </c>
      <c r="AZ5" s="29">
        <v>3018</v>
      </c>
      <c r="BA5" s="29">
        <v>3030</v>
      </c>
      <c r="BB5" s="30">
        <v>92698</v>
      </c>
      <c r="BC5" s="30">
        <v>152121</v>
      </c>
      <c r="BD5" s="30">
        <v>327811</v>
      </c>
      <c r="BE5" s="30">
        <v>387345</v>
      </c>
      <c r="BF5" s="30">
        <v>446879</v>
      </c>
      <c r="BG5" s="30">
        <v>506412</v>
      </c>
    </row>
    <row r="6" spans="1:59" ht="15.75" thickBot="1" x14ac:dyDescent="0.3">
      <c r="A6" s="19" t="s">
        <v>192</v>
      </c>
      <c r="B6" s="19" t="s">
        <v>193</v>
      </c>
      <c r="C6" s="20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1">
        <v>1</v>
      </c>
      <c r="J6" s="22">
        <v>0.86</v>
      </c>
      <c r="K6" s="22">
        <v>0.73</v>
      </c>
      <c r="L6" s="22">
        <v>0.72</v>
      </c>
      <c r="M6" s="22">
        <v>0.71</v>
      </c>
      <c r="N6" s="22">
        <v>0.7</v>
      </c>
      <c r="O6" s="22">
        <v>0.69</v>
      </c>
      <c r="P6" s="23">
        <v>90</v>
      </c>
      <c r="Q6" s="23">
        <v>14</v>
      </c>
      <c r="R6" s="24">
        <v>90</v>
      </c>
      <c r="S6" s="24">
        <v>90</v>
      </c>
      <c r="T6" s="24">
        <v>90</v>
      </c>
      <c r="U6" s="24">
        <v>90</v>
      </c>
      <c r="V6" s="24">
        <v>90</v>
      </c>
      <c r="W6" s="24">
        <v>90</v>
      </c>
      <c r="X6" s="25">
        <v>85.88</v>
      </c>
      <c r="Y6" s="25">
        <v>72.760000000000005</v>
      </c>
      <c r="Z6" s="25">
        <v>72.290000000000006</v>
      </c>
      <c r="AA6" s="25">
        <v>70.540000000000006</v>
      </c>
      <c r="AB6" s="25">
        <v>69.92</v>
      </c>
      <c r="AC6" s="25">
        <v>68.53</v>
      </c>
      <c r="AD6" s="26">
        <v>77.290000000000006</v>
      </c>
      <c r="AE6" s="26">
        <v>65.48</v>
      </c>
      <c r="AF6" s="26">
        <v>65.06</v>
      </c>
      <c r="AG6" s="26">
        <v>63.49</v>
      </c>
      <c r="AH6" s="26">
        <v>62.93</v>
      </c>
      <c r="AI6" s="26">
        <v>61.68</v>
      </c>
      <c r="AJ6" s="27">
        <v>2244.6</v>
      </c>
      <c r="AK6" s="27">
        <v>1989.99</v>
      </c>
      <c r="AL6" s="27">
        <v>1959.71</v>
      </c>
      <c r="AM6" s="27">
        <v>1929.4</v>
      </c>
      <c r="AN6" s="27">
        <v>1899.08</v>
      </c>
      <c r="AO6" s="27">
        <v>1868.78</v>
      </c>
      <c r="AP6" s="28">
        <v>2613.6</v>
      </c>
      <c r="AQ6" s="28">
        <v>2735.1</v>
      </c>
      <c r="AR6" s="28">
        <v>2710.8</v>
      </c>
      <c r="AS6" s="28">
        <v>2735.1</v>
      </c>
      <c r="AT6" s="28">
        <v>2716.2</v>
      </c>
      <c r="AU6" s="28">
        <v>2727</v>
      </c>
      <c r="AV6" s="29">
        <v>2904</v>
      </c>
      <c r="AW6" s="29">
        <v>3039</v>
      </c>
      <c r="AX6" s="29">
        <v>3012</v>
      </c>
      <c r="AY6" s="29">
        <v>3039</v>
      </c>
      <c r="AZ6" s="29">
        <v>3018</v>
      </c>
      <c r="BA6" s="29">
        <v>3030</v>
      </c>
      <c r="BB6" s="30">
        <v>220485</v>
      </c>
      <c r="BC6" s="30">
        <v>223432</v>
      </c>
      <c r="BD6" s="30">
        <v>223432</v>
      </c>
      <c r="BE6" s="30">
        <v>223432</v>
      </c>
      <c r="BF6" s="30">
        <v>223432</v>
      </c>
      <c r="BG6" s="30">
        <v>223432</v>
      </c>
    </row>
    <row r="7" spans="1:59" ht="15.75" thickBot="1" x14ac:dyDescent="0.3">
      <c r="A7" s="19" t="s">
        <v>194</v>
      </c>
      <c r="B7" s="19" t="s">
        <v>118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1">
        <v>1</v>
      </c>
      <c r="J7" s="22">
        <v>0.01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3">
        <v>75</v>
      </c>
      <c r="Q7" s="23">
        <v>0</v>
      </c>
      <c r="R7" s="24">
        <v>75</v>
      </c>
      <c r="S7" s="24">
        <v>75</v>
      </c>
      <c r="T7" s="24">
        <v>75</v>
      </c>
      <c r="U7" s="24">
        <v>75</v>
      </c>
      <c r="V7" s="24">
        <v>75</v>
      </c>
      <c r="W7" s="24">
        <v>75</v>
      </c>
      <c r="X7" s="25">
        <v>1.01</v>
      </c>
      <c r="Y7" s="25">
        <v>0.36</v>
      </c>
      <c r="Z7" s="25">
        <v>0.36</v>
      </c>
      <c r="AA7" s="25">
        <v>0.35</v>
      </c>
      <c r="AB7" s="25">
        <v>0.35</v>
      </c>
      <c r="AC7" s="25">
        <v>0.34</v>
      </c>
      <c r="AD7" s="26">
        <v>0.76</v>
      </c>
      <c r="AE7" s="26">
        <v>0.27</v>
      </c>
      <c r="AF7" s="26">
        <v>0.27</v>
      </c>
      <c r="AG7" s="26">
        <v>0.26</v>
      </c>
      <c r="AH7" s="26">
        <v>0.26</v>
      </c>
      <c r="AI7" s="26">
        <v>0.25</v>
      </c>
      <c r="AJ7" s="27">
        <v>21.98</v>
      </c>
      <c r="AK7" s="27">
        <v>8.19</v>
      </c>
      <c r="AL7" s="27">
        <v>8.07</v>
      </c>
      <c r="AM7" s="27">
        <v>7.94</v>
      </c>
      <c r="AN7" s="27">
        <v>7.82</v>
      </c>
      <c r="AO7" s="27">
        <v>7.69</v>
      </c>
      <c r="AP7" s="28">
        <v>2178</v>
      </c>
      <c r="AQ7" s="28">
        <v>2279.25</v>
      </c>
      <c r="AR7" s="28">
        <v>2259</v>
      </c>
      <c r="AS7" s="28">
        <v>2279.25</v>
      </c>
      <c r="AT7" s="28">
        <v>2263.5</v>
      </c>
      <c r="AU7" s="28">
        <v>2272.5</v>
      </c>
      <c r="AV7" s="29">
        <v>2904</v>
      </c>
      <c r="AW7" s="29">
        <v>3039</v>
      </c>
      <c r="AX7" s="29">
        <v>3012</v>
      </c>
      <c r="AY7" s="29">
        <v>3039</v>
      </c>
      <c r="AZ7" s="29">
        <v>3018</v>
      </c>
      <c r="BA7" s="29">
        <v>3030</v>
      </c>
      <c r="BB7" s="30">
        <v>2000</v>
      </c>
      <c r="BC7" s="30">
        <v>757</v>
      </c>
      <c r="BD7" s="30">
        <v>757</v>
      </c>
      <c r="BE7" s="30">
        <v>757</v>
      </c>
      <c r="BF7" s="30">
        <v>757</v>
      </c>
      <c r="BG7" s="30">
        <v>757</v>
      </c>
    </row>
    <row r="8" spans="1:59" ht="15.75" thickBot="1" x14ac:dyDescent="0.3">
      <c r="A8" s="19" t="s">
        <v>195</v>
      </c>
      <c r="B8" s="19" t="s">
        <v>196</v>
      </c>
      <c r="C8" s="20">
        <v>1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1">
        <v>1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3">
        <v>90</v>
      </c>
      <c r="Q8" s="23">
        <v>0</v>
      </c>
      <c r="R8" s="24">
        <v>90</v>
      </c>
      <c r="S8" s="24">
        <v>90</v>
      </c>
      <c r="T8" s="24">
        <v>90</v>
      </c>
      <c r="U8" s="24">
        <v>90</v>
      </c>
      <c r="V8" s="24">
        <v>90</v>
      </c>
      <c r="W8" s="24">
        <v>90</v>
      </c>
      <c r="X8" s="25">
        <v>0</v>
      </c>
      <c r="Y8" s="25">
        <v>0</v>
      </c>
      <c r="Z8" s="25">
        <v>0</v>
      </c>
      <c r="AA8" s="25">
        <v>0</v>
      </c>
      <c r="AB8" s="25">
        <v>0</v>
      </c>
      <c r="AC8" s="25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8">
        <v>2613.6</v>
      </c>
      <c r="AQ8" s="28">
        <v>2735.1</v>
      </c>
      <c r="AR8" s="28">
        <v>2710.8</v>
      </c>
      <c r="AS8" s="28">
        <v>2735.1</v>
      </c>
      <c r="AT8" s="28">
        <v>2716.2</v>
      </c>
      <c r="AU8" s="28">
        <v>2727</v>
      </c>
      <c r="AV8" s="29">
        <v>2904</v>
      </c>
      <c r="AW8" s="29">
        <v>3039</v>
      </c>
      <c r="AX8" s="29">
        <v>3012</v>
      </c>
      <c r="AY8" s="29">
        <v>3039</v>
      </c>
      <c r="AZ8" s="29">
        <v>3018</v>
      </c>
      <c r="BA8" s="29">
        <v>3030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</row>
    <row r="9" spans="1:59" ht="15.75" thickBot="1" x14ac:dyDescent="0.3">
      <c r="A9" s="19" t="s">
        <v>197</v>
      </c>
      <c r="B9" s="19" t="s">
        <v>198</v>
      </c>
      <c r="C9" s="20">
        <v>1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1">
        <v>1</v>
      </c>
      <c r="J9" s="22">
        <v>0.04</v>
      </c>
      <c r="K9" s="22">
        <v>0.16</v>
      </c>
      <c r="L9" s="22">
        <v>0.16</v>
      </c>
      <c r="M9" s="22">
        <v>0.15</v>
      </c>
      <c r="N9" s="22">
        <v>0.15</v>
      </c>
      <c r="O9" s="22">
        <v>0.15</v>
      </c>
      <c r="P9" s="23">
        <v>90</v>
      </c>
      <c r="Q9" s="23">
        <v>5</v>
      </c>
      <c r="R9" s="24">
        <v>90</v>
      </c>
      <c r="S9" s="24">
        <v>90</v>
      </c>
      <c r="T9" s="24">
        <v>90</v>
      </c>
      <c r="U9" s="24">
        <v>90</v>
      </c>
      <c r="V9" s="24">
        <v>90</v>
      </c>
      <c r="W9" s="24">
        <v>90</v>
      </c>
      <c r="X9" s="25">
        <v>4.24</v>
      </c>
      <c r="Y9" s="25">
        <v>15.73</v>
      </c>
      <c r="Z9" s="25">
        <v>15.63</v>
      </c>
      <c r="AA9" s="25">
        <v>15.25</v>
      </c>
      <c r="AB9" s="25">
        <v>15.11</v>
      </c>
      <c r="AC9" s="25">
        <v>14.81</v>
      </c>
      <c r="AD9" s="26">
        <v>3.81</v>
      </c>
      <c r="AE9" s="26">
        <v>14.15</v>
      </c>
      <c r="AF9" s="26">
        <v>14.06</v>
      </c>
      <c r="AG9" s="26">
        <v>13.72</v>
      </c>
      <c r="AH9" s="26">
        <v>13.6</v>
      </c>
      <c r="AI9" s="26">
        <v>13.33</v>
      </c>
      <c r="AJ9" s="27">
        <v>110.71</v>
      </c>
      <c r="AK9" s="27">
        <v>430.13</v>
      </c>
      <c r="AL9" s="27">
        <v>423.57</v>
      </c>
      <c r="AM9" s="27">
        <v>417.03</v>
      </c>
      <c r="AN9" s="27">
        <v>410.47</v>
      </c>
      <c r="AO9" s="27">
        <v>403.92</v>
      </c>
      <c r="AP9" s="28">
        <v>2613.6</v>
      </c>
      <c r="AQ9" s="28">
        <v>2735.1</v>
      </c>
      <c r="AR9" s="28">
        <v>2710.8</v>
      </c>
      <c r="AS9" s="28">
        <v>2735.1</v>
      </c>
      <c r="AT9" s="28">
        <v>2716.2</v>
      </c>
      <c r="AU9" s="28">
        <v>2727</v>
      </c>
      <c r="AV9" s="29">
        <v>2904</v>
      </c>
      <c r="AW9" s="29">
        <v>3039</v>
      </c>
      <c r="AX9" s="29">
        <v>3012</v>
      </c>
      <c r="AY9" s="29">
        <v>3039</v>
      </c>
      <c r="AZ9" s="29">
        <v>3018</v>
      </c>
      <c r="BA9" s="29">
        <v>3030</v>
      </c>
      <c r="BB9" s="30">
        <v>10505</v>
      </c>
      <c r="BC9" s="30">
        <v>43257</v>
      </c>
      <c r="BD9" s="30">
        <v>43257</v>
      </c>
      <c r="BE9" s="30">
        <v>43257</v>
      </c>
      <c r="BF9" s="30">
        <v>43257</v>
      </c>
      <c r="BG9" s="30">
        <v>43257</v>
      </c>
    </row>
    <row r="10" spans="1:59" ht="15.75" thickBot="1" x14ac:dyDescent="0.3">
      <c r="A10" s="19" t="s">
        <v>199</v>
      </c>
      <c r="B10" s="19" t="s">
        <v>200</v>
      </c>
      <c r="C10" s="20">
        <v>1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1">
        <v>1</v>
      </c>
      <c r="J10" s="22">
        <v>0.74</v>
      </c>
      <c r="K10" s="22">
        <v>1.19</v>
      </c>
      <c r="L10" s="22">
        <v>1.17</v>
      </c>
      <c r="M10" s="22">
        <v>1.1499999999999999</v>
      </c>
      <c r="N10" s="22">
        <v>1.1399999999999999</v>
      </c>
      <c r="O10" s="22">
        <v>1.1100000000000001</v>
      </c>
      <c r="P10" s="23">
        <v>75</v>
      </c>
      <c r="Q10" s="23">
        <v>16</v>
      </c>
      <c r="R10" s="24">
        <v>75</v>
      </c>
      <c r="S10" s="24">
        <v>75</v>
      </c>
      <c r="T10" s="24">
        <v>75</v>
      </c>
      <c r="U10" s="24">
        <v>75</v>
      </c>
      <c r="V10" s="24">
        <v>75</v>
      </c>
      <c r="W10" s="24">
        <v>75</v>
      </c>
      <c r="X10" s="25">
        <v>73.72</v>
      </c>
      <c r="Y10" s="25">
        <v>118.93</v>
      </c>
      <c r="Z10" s="25">
        <v>116.94</v>
      </c>
      <c r="AA10" s="25">
        <v>114.9</v>
      </c>
      <c r="AB10" s="25">
        <v>113.52</v>
      </c>
      <c r="AC10" s="25">
        <v>110.71</v>
      </c>
      <c r="AD10" s="26">
        <v>55.29</v>
      </c>
      <c r="AE10" s="26">
        <v>89.2</v>
      </c>
      <c r="AF10" s="26">
        <v>87.7</v>
      </c>
      <c r="AG10" s="26">
        <v>86.17</v>
      </c>
      <c r="AH10" s="26">
        <v>85.14</v>
      </c>
      <c r="AI10" s="26">
        <v>83.04</v>
      </c>
      <c r="AJ10" s="27">
        <v>2394.58</v>
      </c>
      <c r="AK10" s="27">
        <v>4275.37</v>
      </c>
      <c r="AL10" s="27">
        <v>4210.26</v>
      </c>
      <c r="AM10" s="27">
        <v>4145.1400000000003</v>
      </c>
      <c r="AN10" s="27">
        <v>4080.04</v>
      </c>
      <c r="AO10" s="27">
        <v>4014.95</v>
      </c>
      <c r="AP10" s="28">
        <v>3248.32</v>
      </c>
      <c r="AQ10" s="28">
        <v>3594.75</v>
      </c>
      <c r="AR10" s="28">
        <v>3600.45</v>
      </c>
      <c r="AS10" s="28">
        <v>3607.72</v>
      </c>
      <c r="AT10" s="28">
        <v>3594.22</v>
      </c>
      <c r="AU10" s="28">
        <v>3626.4</v>
      </c>
      <c r="AV10" s="29">
        <v>4331.1000000000004</v>
      </c>
      <c r="AW10" s="29">
        <v>4793</v>
      </c>
      <c r="AX10" s="29">
        <v>4800.6000000000004</v>
      </c>
      <c r="AY10" s="29">
        <v>4810.3</v>
      </c>
      <c r="AZ10" s="29">
        <v>4792.3</v>
      </c>
      <c r="BA10" s="29">
        <v>4835.2</v>
      </c>
      <c r="BB10" s="30">
        <v>478915</v>
      </c>
      <c r="BC10" s="30">
        <v>865466</v>
      </c>
      <c r="BD10" s="30">
        <v>865466</v>
      </c>
      <c r="BE10" s="30">
        <v>865466</v>
      </c>
      <c r="BF10" s="30">
        <v>865466</v>
      </c>
      <c r="BG10" s="30">
        <v>865466</v>
      </c>
    </row>
    <row r="11" spans="1:59" ht="15.75" thickBot="1" x14ac:dyDescent="0.3">
      <c r="A11" s="19" t="s">
        <v>201</v>
      </c>
      <c r="B11" s="19" t="s">
        <v>202</v>
      </c>
      <c r="C11" s="20">
        <v>1</v>
      </c>
      <c r="D11" s="20">
        <v>1</v>
      </c>
      <c r="E11" s="20">
        <v>1</v>
      </c>
      <c r="F11" s="20">
        <v>1</v>
      </c>
      <c r="G11" s="20">
        <v>1</v>
      </c>
      <c r="H11" s="20">
        <v>1</v>
      </c>
      <c r="I11" s="21">
        <v>1</v>
      </c>
      <c r="J11" s="22">
        <v>0.22</v>
      </c>
      <c r="K11" s="22">
        <v>0.27</v>
      </c>
      <c r="L11" s="22">
        <v>0.27</v>
      </c>
      <c r="M11" s="22">
        <v>0.27</v>
      </c>
      <c r="N11" s="22">
        <v>0.26</v>
      </c>
      <c r="O11" s="22">
        <v>0.26</v>
      </c>
      <c r="P11" s="23">
        <v>75</v>
      </c>
      <c r="Q11" s="23">
        <v>25</v>
      </c>
      <c r="R11" s="24">
        <v>75</v>
      </c>
      <c r="S11" s="24">
        <v>75</v>
      </c>
      <c r="T11" s="24">
        <v>75</v>
      </c>
      <c r="U11" s="24">
        <v>75</v>
      </c>
      <c r="V11" s="24">
        <v>75</v>
      </c>
      <c r="W11" s="24">
        <v>75</v>
      </c>
      <c r="X11" s="25">
        <v>22.39</v>
      </c>
      <c r="Y11" s="25">
        <v>27.45</v>
      </c>
      <c r="Z11" s="25">
        <v>26.98</v>
      </c>
      <c r="AA11" s="25">
        <v>26.51</v>
      </c>
      <c r="AB11" s="25">
        <v>26.2</v>
      </c>
      <c r="AC11" s="25">
        <v>25.55</v>
      </c>
      <c r="AD11" s="26">
        <v>16.79</v>
      </c>
      <c r="AE11" s="26">
        <v>20.58</v>
      </c>
      <c r="AF11" s="26">
        <v>20.239999999999998</v>
      </c>
      <c r="AG11" s="26">
        <v>19.89</v>
      </c>
      <c r="AH11" s="26">
        <v>19.649999999999999</v>
      </c>
      <c r="AI11" s="26">
        <v>19.16</v>
      </c>
      <c r="AJ11" s="27">
        <v>727.18</v>
      </c>
      <c r="AK11" s="27">
        <v>986.58</v>
      </c>
      <c r="AL11" s="27">
        <v>971.56</v>
      </c>
      <c r="AM11" s="27">
        <v>956.53</v>
      </c>
      <c r="AN11" s="27">
        <v>941.51</v>
      </c>
      <c r="AO11" s="27">
        <v>926.48</v>
      </c>
      <c r="AP11" s="28">
        <v>3248.32</v>
      </c>
      <c r="AQ11" s="28">
        <v>3594.75</v>
      </c>
      <c r="AR11" s="28">
        <v>3600.45</v>
      </c>
      <c r="AS11" s="28">
        <v>3607.72</v>
      </c>
      <c r="AT11" s="28">
        <v>3594.22</v>
      </c>
      <c r="AU11" s="28">
        <v>3626.4</v>
      </c>
      <c r="AV11" s="29">
        <v>4331.1000000000004</v>
      </c>
      <c r="AW11" s="29">
        <v>4793</v>
      </c>
      <c r="AX11" s="29">
        <v>4800.6000000000004</v>
      </c>
      <c r="AY11" s="29">
        <v>4810.3</v>
      </c>
      <c r="AZ11" s="29">
        <v>4792.3</v>
      </c>
      <c r="BA11" s="29">
        <v>4835.2</v>
      </c>
      <c r="BB11" s="30">
        <v>145435</v>
      </c>
      <c r="BC11" s="30">
        <v>200321</v>
      </c>
      <c r="BD11" s="30">
        <v>200321</v>
      </c>
      <c r="BE11" s="30">
        <v>200321</v>
      </c>
      <c r="BF11" s="30">
        <v>200321</v>
      </c>
      <c r="BG11" s="30">
        <v>200321</v>
      </c>
    </row>
    <row r="12" spans="1:59" ht="15.75" thickBot="1" x14ac:dyDescent="0.3">
      <c r="A12" s="19" t="s">
        <v>203</v>
      </c>
      <c r="B12" s="19" t="s">
        <v>204</v>
      </c>
      <c r="C12" s="20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1">
        <v>1</v>
      </c>
      <c r="J12" s="22">
        <v>0.71</v>
      </c>
      <c r="K12" s="22">
        <v>1.0900000000000001</v>
      </c>
      <c r="L12" s="22">
        <v>1.07</v>
      </c>
      <c r="M12" s="22">
        <v>1.06</v>
      </c>
      <c r="N12" s="22">
        <v>1.04</v>
      </c>
      <c r="O12" s="22">
        <v>1.02</v>
      </c>
      <c r="P12" s="23">
        <v>75</v>
      </c>
      <c r="Q12" s="23">
        <v>16</v>
      </c>
      <c r="R12" s="24">
        <v>75</v>
      </c>
      <c r="S12" s="24">
        <v>75</v>
      </c>
      <c r="T12" s="24">
        <v>75</v>
      </c>
      <c r="U12" s="24">
        <v>75</v>
      </c>
      <c r="V12" s="24">
        <v>75</v>
      </c>
      <c r="W12" s="24">
        <v>75</v>
      </c>
      <c r="X12" s="25">
        <v>71.27</v>
      </c>
      <c r="Y12" s="25">
        <v>109.23</v>
      </c>
      <c r="Z12" s="25">
        <v>107.39</v>
      </c>
      <c r="AA12" s="25">
        <v>105.52</v>
      </c>
      <c r="AB12" s="25">
        <v>104.25</v>
      </c>
      <c r="AC12" s="25">
        <v>101.68</v>
      </c>
      <c r="AD12" s="26">
        <v>53.45</v>
      </c>
      <c r="AE12" s="26">
        <v>81.92</v>
      </c>
      <c r="AF12" s="26">
        <v>80.540000000000006</v>
      </c>
      <c r="AG12" s="26">
        <v>79.14</v>
      </c>
      <c r="AH12" s="26">
        <v>78.19</v>
      </c>
      <c r="AI12" s="26">
        <v>76.260000000000005</v>
      </c>
      <c r="AJ12" s="27">
        <v>2315.04</v>
      </c>
      <c r="AK12" s="27">
        <v>3926.39</v>
      </c>
      <c r="AL12" s="27">
        <v>3866.59</v>
      </c>
      <c r="AM12" s="27">
        <v>3806.79</v>
      </c>
      <c r="AN12" s="27">
        <v>3747.02</v>
      </c>
      <c r="AO12" s="27">
        <v>3687.21</v>
      </c>
      <c r="AP12" s="28">
        <v>3248.32</v>
      </c>
      <c r="AQ12" s="28">
        <v>3594.75</v>
      </c>
      <c r="AR12" s="28">
        <v>3600.45</v>
      </c>
      <c r="AS12" s="28">
        <v>3607.72</v>
      </c>
      <c r="AT12" s="28">
        <v>3594.22</v>
      </c>
      <c r="AU12" s="28">
        <v>3626.4</v>
      </c>
      <c r="AV12" s="29">
        <v>4331.1000000000004</v>
      </c>
      <c r="AW12" s="29">
        <v>4793</v>
      </c>
      <c r="AX12" s="29">
        <v>4800.6000000000004</v>
      </c>
      <c r="AY12" s="29">
        <v>4810.3</v>
      </c>
      <c r="AZ12" s="29">
        <v>4792.3</v>
      </c>
      <c r="BA12" s="29">
        <v>4835.2</v>
      </c>
      <c r="BB12" s="30">
        <v>676924</v>
      </c>
      <c r="BC12" s="30">
        <v>1104844</v>
      </c>
      <c r="BD12" s="30">
        <v>1104844</v>
      </c>
      <c r="BE12" s="30">
        <v>1104844</v>
      </c>
      <c r="BF12" s="30">
        <v>1104844</v>
      </c>
      <c r="BG12" s="30">
        <v>1104844</v>
      </c>
    </row>
    <row r="13" spans="1:59" ht="15.75" thickBot="1" x14ac:dyDescent="0.3">
      <c r="A13" s="19" t="s">
        <v>205</v>
      </c>
      <c r="B13" s="19" t="s">
        <v>206</v>
      </c>
      <c r="C13" s="20">
        <v>1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1">
        <v>1</v>
      </c>
      <c r="J13" s="22">
        <v>0.23</v>
      </c>
      <c r="K13" s="22">
        <v>0.15</v>
      </c>
      <c r="L13" s="22">
        <v>0.14000000000000001</v>
      </c>
      <c r="M13" s="22">
        <v>0.14000000000000001</v>
      </c>
      <c r="N13" s="22">
        <v>0.14000000000000001</v>
      </c>
      <c r="O13" s="22">
        <v>0.14000000000000001</v>
      </c>
      <c r="P13" s="23">
        <v>75</v>
      </c>
      <c r="Q13" s="23">
        <v>68</v>
      </c>
      <c r="R13" s="24">
        <v>75</v>
      </c>
      <c r="S13" s="24">
        <v>75</v>
      </c>
      <c r="T13" s="24">
        <v>75</v>
      </c>
      <c r="U13" s="24">
        <v>75</v>
      </c>
      <c r="V13" s="24">
        <v>75</v>
      </c>
      <c r="W13" s="24">
        <v>75</v>
      </c>
      <c r="X13" s="25">
        <v>22.82</v>
      </c>
      <c r="Y13" s="25">
        <v>14.65</v>
      </c>
      <c r="Z13" s="25">
        <v>14.41</v>
      </c>
      <c r="AA13" s="25">
        <v>14.15</v>
      </c>
      <c r="AB13" s="25">
        <v>13.98</v>
      </c>
      <c r="AC13" s="25">
        <v>13.64</v>
      </c>
      <c r="AD13" s="26">
        <v>17.11</v>
      </c>
      <c r="AE13" s="26">
        <v>10.99</v>
      </c>
      <c r="AF13" s="26">
        <v>10.8</v>
      </c>
      <c r="AG13" s="26">
        <v>10.62</v>
      </c>
      <c r="AH13" s="26">
        <v>10.49</v>
      </c>
      <c r="AI13" s="26">
        <v>10.23</v>
      </c>
      <c r="AJ13" s="27">
        <v>741.17</v>
      </c>
      <c r="AK13" s="27">
        <v>526.70000000000005</v>
      </c>
      <c r="AL13" s="27">
        <v>518.67999999999995</v>
      </c>
      <c r="AM13" s="27">
        <v>510.66</v>
      </c>
      <c r="AN13" s="27">
        <v>502.64</v>
      </c>
      <c r="AO13" s="27">
        <v>494.62</v>
      </c>
      <c r="AP13" s="28">
        <v>3248.32</v>
      </c>
      <c r="AQ13" s="28">
        <v>3594.75</v>
      </c>
      <c r="AR13" s="28">
        <v>3600.45</v>
      </c>
      <c r="AS13" s="28">
        <v>3607.72</v>
      </c>
      <c r="AT13" s="28">
        <v>3594.22</v>
      </c>
      <c r="AU13" s="28">
        <v>3626.4</v>
      </c>
      <c r="AV13" s="29">
        <v>4331.1000000000004</v>
      </c>
      <c r="AW13" s="29">
        <v>4793</v>
      </c>
      <c r="AX13" s="29">
        <v>4800.6000000000004</v>
      </c>
      <c r="AY13" s="29">
        <v>4810.3</v>
      </c>
      <c r="AZ13" s="29">
        <v>4792.3</v>
      </c>
      <c r="BA13" s="29">
        <v>4835.2</v>
      </c>
      <c r="BB13" s="30">
        <v>106728</v>
      </c>
      <c r="BC13" s="30">
        <v>77000</v>
      </c>
      <c r="BD13" s="30">
        <v>77000</v>
      </c>
      <c r="BE13" s="30">
        <v>77000</v>
      </c>
      <c r="BF13" s="30">
        <v>77000</v>
      </c>
      <c r="BG13" s="30">
        <v>77000</v>
      </c>
    </row>
    <row r="14" spans="1:59" ht="15.75" thickBot="1" x14ac:dyDescent="0.3">
      <c r="A14" s="19" t="s">
        <v>207</v>
      </c>
      <c r="B14" s="19" t="s">
        <v>129</v>
      </c>
      <c r="C14" s="20">
        <v>1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1">
        <v>1</v>
      </c>
      <c r="J14" s="22">
        <v>0.11</v>
      </c>
      <c r="K14" s="22">
        <v>0.25</v>
      </c>
      <c r="L14" s="22">
        <v>0.25</v>
      </c>
      <c r="M14" s="22">
        <v>0.24</v>
      </c>
      <c r="N14" s="22">
        <v>0.24</v>
      </c>
      <c r="O14" s="22">
        <v>0.23</v>
      </c>
      <c r="P14" s="23">
        <v>75</v>
      </c>
      <c r="Q14" s="23">
        <v>18</v>
      </c>
      <c r="R14" s="24">
        <v>75</v>
      </c>
      <c r="S14" s="24">
        <v>75</v>
      </c>
      <c r="T14" s="24">
        <v>75</v>
      </c>
      <c r="U14" s="24">
        <v>75</v>
      </c>
      <c r="V14" s="24">
        <v>75</v>
      </c>
      <c r="W14" s="24">
        <v>75</v>
      </c>
      <c r="X14" s="25">
        <v>11.08</v>
      </c>
      <c r="Y14" s="25">
        <v>25.03</v>
      </c>
      <c r="Z14" s="25">
        <v>24.61</v>
      </c>
      <c r="AA14" s="25">
        <v>24.18</v>
      </c>
      <c r="AB14" s="25">
        <v>23.89</v>
      </c>
      <c r="AC14" s="25">
        <v>23.3</v>
      </c>
      <c r="AD14" s="26">
        <v>8.31</v>
      </c>
      <c r="AE14" s="26">
        <v>18.77</v>
      </c>
      <c r="AF14" s="26">
        <v>18.46</v>
      </c>
      <c r="AG14" s="26">
        <v>18.14</v>
      </c>
      <c r="AH14" s="26">
        <v>17.920000000000002</v>
      </c>
      <c r="AI14" s="26">
        <v>17.48</v>
      </c>
      <c r="AJ14" s="27">
        <v>360.05</v>
      </c>
      <c r="AK14" s="27">
        <v>899.86</v>
      </c>
      <c r="AL14" s="27">
        <v>886.16</v>
      </c>
      <c r="AM14" s="27">
        <v>872.45</v>
      </c>
      <c r="AN14" s="27">
        <v>858.75</v>
      </c>
      <c r="AO14" s="27">
        <v>845.05</v>
      </c>
      <c r="AP14" s="28">
        <v>3248.32</v>
      </c>
      <c r="AQ14" s="28">
        <v>3594.75</v>
      </c>
      <c r="AR14" s="28">
        <v>3600.45</v>
      </c>
      <c r="AS14" s="28">
        <v>3607.72</v>
      </c>
      <c r="AT14" s="28">
        <v>3594.22</v>
      </c>
      <c r="AU14" s="28">
        <v>3626.4</v>
      </c>
      <c r="AV14" s="29">
        <v>4331.1000000000004</v>
      </c>
      <c r="AW14" s="29">
        <v>4793</v>
      </c>
      <c r="AX14" s="29">
        <v>4800.6000000000004</v>
      </c>
      <c r="AY14" s="29">
        <v>4810.3</v>
      </c>
      <c r="AZ14" s="29">
        <v>4792.3</v>
      </c>
      <c r="BA14" s="29">
        <v>4835.2</v>
      </c>
      <c r="BB14" s="30">
        <v>144018</v>
      </c>
      <c r="BC14" s="30">
        <v>365426</v>
      </c>
      <c r="BD14" s="30">
        <v>365426</v>
      </c>
      <c r="BE14" s="30">
        <v>365426</v>
      </c>
      <c r="BF14" s="30">
        <v>365426</v>
      </c>
      <c r="BG14" s="30">
        <v>365426</v>
      </c>
    </row>
    <row r="15" spans="1:59" ht="15.75" thickBot="1" x14ac:dyDescent="0.3">
      <c r="A15" s="19" t="s">
        <v>208</v>
      </c>
      <c r="B15" s="19" t="s">
        <v>209</v>
      </c>
      <c r="C15" s="20">
        <v>1</v>
      </c>
      <c r="D15" s="20">
        <v>1</v>
      </c>
      <c r="E15" s="20">
        <v>1</v>
      </c>
      <c r="F15" s="20">
        <v>1</v>
      </c>
      <c r="G15" s="20">
        <v>1</v>
      </c>
      <c r="H15" s="20">
        <v>1</v>
      </c>
      <c r="I15" s="21">
        <v>1</v>
      </c>
      <c r="J15" s="22">
        <v>0</v>
      </c>
      <c r="K15" s="22">
        <v>0.02</v>
      </c>
      <c r="L15" s="22">
        <v>0.02</v>
      </c>
      <c r="M15" s="22">
        <v>0.02</v>
      </c>
      <c r="N15" s="22">
        <v>0.02</v>
      </c>
      <c r="O15" s="22">
        <v>0.02</v>
      </c>
      <c r="P15" s="23">
        <v>90</v>
      </c>
      <c r="Q15" s="23">
        <v>17</v>
      </c>
      <c r="R15" s="24">
        <v>90</v>
      </c>
      <c r="S15" s="24">
        <v>90</v>
      </c>
      <c r="T15" s="24">
        <v>90</v>
      </c>
      <c r="U15" s="24">
        <v>90</v>
      </c>
      <c r="V15" s="24">
        <v>90</v>
      </c>
      <c r="W15" s="24">
        <v>90</v>
      </c>
      <c r="X15" s="25">
        <v>0</v>
      </c>
      <c r="Y15" s="25">
        <v>2.4300000000000002</v>
      </c>
      <c r="Z15" s="25">
        <v>2.41</v>
      </c>
      <c r="AA15" s="25">
        <v>2.35</v>
      </c>
      <c r="AB15" s="25">
        <v>2.33</v>
      </c>
      <c r="AC15" s="25">
        <v>2.29</v>
      </c>
      <c r="AD15" s="26">
        <v>0</v>
      </c>
      <c r="AE15" s="26">
        <v>2.1800000000000002</v>
      </c>
      <c r="AF15" s="26">
        <v>2.17</v>
      </c>
      <c r="AG15" s="26">
        <v>2.12</v>
      </c>
      <c r="AH15" s="26">
        <v>2.1</v>
      </c>
      <c r="AI15" s="26">
        <v>2.06</v>
      </c>
      <c r="AJ15" s="27">
        <v>0</v>
      </c>
      <c r="AK15" s="27">
        <v>66.400000000000006</v>
      </c>
      <c r="AL15" s="27">
        <v>65.38</v>
      </c>
      <c r="AM15" s="27">
        <v>64.37</v>
      </c>
      <c r="AN15" s="27">
        <v>63.36</v>
      </c>
      <c r="AO15" s="27">
        <v>62.35</v>
      </c>
      <c r="AP15" s="28">
        <v>2613.6</v>
      </c>
      <c r="AQ15" s="28">
        <v>2735.1</v>
      </c>
      <c r="AR15" s="28">
        <v>2710.8</v>
      </c>
      <c r="AS15" s="28">
        <v>2735.1</v>
      </c>
      <c r="AT15" s="28">
        <v>2716.2</v>
      </c>
      <c r="AU15" s="28">
        <v>2727</v>
      </c>
      <c r="AV15" s="29">
        <v>2904</v>
      </c>
      <c r="AW15" s="29">
        <v>3039</v>
      </c>
      <c r="AX15" s="29">
        <v>3012</v>
      </c>
      <c r="AY15" s="29">
        <v>3039</v>
      </c>
      <c r="AZ15" s="29">
        <v>3018</v>
      </c>
      <c r="BA15" s="29">
        <v>3030</v>
      </c>
      <c r="BB15" s="30">
        <v>0</v>
      </c>
      <c r="BC15" s="30">
        <v>5797</v>
      </c>
      <c r="BD15" s="30">
        <v>5797</v>
      </c>
      <c r="BE15" s="30">
        <v>5797</v>
      </c>
      <c r="BF15" s="30">
        <v>5797</v>
      </c>
      <c r="BG15" s="30">
        <v>5797</v>
      </c>
    </row>
    <row r="16" spans="1:59" ht="15.75" thickBot="1" x14ac:dyDescent="0.3">
      <c r="A16" s="19" t="s">
        <v>210</v>
      </c>
      <c r="B16" s="19" t="s">
        <v>218</v>
      </c>
      <c r="C16" s="20">
        <v>1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1">
        <v>1</v>
      </c>
      <c r="J16" s="22">
        <v>0.86</v>
      </c>
      <c r="K16" s="22">
        <v>1.1299999999999999</v>
      </c>
      <c r="L16" s="22">
        <v>1.28</v>
      </c>
      <c r="M16" s="22">
        <v>1.49</v>
      </c>
      <c r="N16" s="22">
        <v>1.7</v>
      </c>
      <c r="O16" s="22">
        <v>1.73</v>
      </c>
      <c r="P16" s="23">
        <v>90</v>
      </c>
      <c r="Q16" s="23">
        <v>29</v>
      </c>
      <c r="R16" s="24">
        <v>90</v>
      </c>
      <c r="S16" s="24">
        <v>90</v>
      </c>
      <c r="T16" s="24">
        <v>90</v>
      </c>
      <c r="U16" s="24">
        <v>90</v>
      </c>
      <c r="V16" s="24">
        <v>90</v>
      </c>
      <c r="W16" s="24">
        <v>90</v>
      </c>
      <c r="X16" s="25">
        <v>85.99</v>
      </c>
      <c r="Y16" s="25">
        <v>112.7</v>
      </c>
      <c r="Z16" s="25">
        <v>127.63</v>
      </c>
      <c r="AA16" s="25">
        <v>149.07</v>
      </c>
      <c r="AB16" s="25">
        <v>170.44</v>
      </c>
      <c r="AC16" s="25">
        <v>173.43</v>
      </c>
      <c r="AD16" s="26">
        <v>77.39</v>
      </c>
      <c r="AE16" s="26">
        <v>101.43</v>
      </c>
      <c r="AF16" s="26">
        <v>114.86</v>
      </c>
      <c r="AG16" s="26">
        <v>134.16</v>
      </c>
      <c r="AH16" s="26">
        <v>153.4</v>
      </c>
      <c r="AI16" s="26">
        <v>156.09</v>
      </c>
      <c r="AJ16" s="27">
        <v>4687.5</v>
      </c>
      <c r="AK16" s="27">
        <v>6877.23</v>
      </c>
      <c r="AL16" s="27">
        <v>7791.24</v>
      </c>
      <c r="AM16" s="27">
        <v>9128.44</v>
      </c>
      <c r="AN16" s="27">
        <v>10391.14</v>
      </c>
      <c r="AO16" s="27">
        <v>10662.17</v>
      </c>
      <c r="AP16" s="28">
        <v>5451.3</v>
      </c>
      <c r="AQ16" s="28">
        <v>6102</v>
      </c>
      <c r="AR16" s="28">
        <v>6104.7</v>
      </c>
      <c r="AS16" s="28">
        <v>6123.6</v>
      </c>
      <c r="AT16" s="28">
        <v>6096.6</v>
      </c>
      <c r="AU16" s="28">
        <v>6147.9</v>
      </c>
      <c r="AV16" s="29">
        <v>6057</v>
      </c>
      <c r="AW16" s="29">
        <v>6780</v>
      </c>
      <c r="AX16" s="29">
        <v>6783</v>
      </c>
      <c r="AY16" s="29">
        <v>6804</v>
      </c>
      <c r="AZ16" s="29">
        <v>6774</v>
      </c>
      <c r="BA16" s="29">
        <v>6831</v>
      </c>
      <c r="BB16" s="30">
        <v>450000</v>
      </c>
      <c r="BC16" s="30">
        <v>670268</v>
      </c>
      <c r="BD16" s="30">
        <v>771092</v>
      </c>
      <c r="BE16" s="30">
        <v>917623</v>
      </c>
      <c r="BF16" s="30">
        <v>1061223</v>
      </c>
      <c r="BG16" s="30">
        <v>1106560</v>
      </c>
    </row>
    <row r="17" spans="1:59" ht="15.75" thickBot="1" x14ac:dyDescent="0.3">
      <c r="A17" s="19" t="s">
        <v>211</v>
      </c>
      <c r="B17" s="19" t="s">
        <v>219</v>
      </c>
      <c r="C17" s="20">
        <v>1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1">
        <v>1</v>
      </c>
      <c r="J17" s="22">
        <v>0.7</v>
      </c>
      <c r="K17" s="22">
        <v>0.66</v>
      </c>
      <c r="L17" s="22">
        <v>0.71</v>
      </c>
      <c r="M17" s="22">
        <v>0.78</v>
      </c>
      <c r="N17" s="22">
        <v>0.85</v>
      </c>
      <c r="O17" s="22">
        <v>0.86</v>
      </c>
      <c r="P17" s="23">
        <v>75</v>
      </c>
      <c r="Q17" s="23">
        <v>37</v>
      </c>
      <c r="R17" s="24">
        <v>75</v>
      </c>
      <c r="S17" s="24">
        <v>75</v>
      </c>
      <c r="T17" s="24">
        <v>75</v>
      </c>
      <c r="U17" s="24">
        <v>75</v>
      </c>
      <c r="V17" s="24">
        <v>75</v>
      </c>
      <c r="W17" s="24">
        <v>75</v>
      </c>
      <c r="X17" s="25">
        <v>70.02</v>
      </c>
      <c r="Y17" s="25">
        <v>66.349999999999994</v>
      </c>
      <c r="Z17" s="25">
        <v>71.11</v>
      </c>
      <c r="AA17" s="25">
        <v>78.05</v>
      </c>
      <c r="AB17" s="25">
        <v>85.17</v>
      </c>
      <c r="AC17" s="25">
        <v>85.57</v>
      </c>
      <c r="AD17" s="26">
        <v>52.51</v>
      </c>
      <c r="AE17" s="26">
        <v>49.77</v>
      </c>
      <c r="AF17" s="26">
        <v>53.33</v>
      </c>
      <c r="AG17" s="26">
        <v>58.54</v>
      </c>
      <c r="AH17" s="26">
        <v>63.88</v>
      </c>
      <c r="AI17" s="26">
        <v>64.180000000000007</v>
      </c>
      <c r="AJ17" s="27">
        <v>3180.61</v>
      </c>
      <c r="AK17" s="27">
        <v>3374.14</v>
      </c>
      <c r="AL17" s="27">
        <v>3617.33</v>
      </c>
      <c r="AM17" s="27">
        <v>3982.89</v>
      </c>
      <c r="AN17" s="27">
        <v>4326.91</v>
      </c>
      <c r="AO17" s="27">
        <v>4384.18</v>
      </c>
      <c r="AP17" s="28">
        <v>4542.75</v>
      </c>
      <c r="AQ17" s="28">
        <v>5085</v>
      </c>
      <c r="AR17" s="28">
        <v>5087.25</v>
      </c>
      <c r="AS17" s="28">
        <v>5103</v>
      </c>
      <c r="AT17" s="28">
        <v>5080.5</v>
      </c>
      <c r="AU17" s="28">
        <v>5123.25</v>
      </c>
      <c r="AV17" s="29">
        <v>6057</v>
      </c>
      <c r="AW17" s="29">
        <v>6780</v>
      </c>
      <c r="AX17" s="29">
        <v>6783</v>
      </c>
      <c r="AY17" s="29">
        <v>6804</v>
      </c>
      <c r="AZ17" s="29">
        <v>6774</v>
      </c>
      <c r="BA17" s="29">
        <v>6831</v>
      </c>
      <c r="BB17" s="30">
        <v>1309131</v>
      </c>
      <c r="BC17" s="30">
        <v>1252214</v>
      </c>
      <c r="BD17" s="30">
        <v>1353038</v>
      </c>
      <c r="BE17" s="30">
        <v>1499569</v>
      </c>
      <c r="BF17" s="30">
        <v>1643169</v>
      </c>
      <c r="BG17" s="30">
        <v>1688506</v>
      </c>
    </row>
    <row r="18" spans="1:59" ht="15.75" thickBot="1" x14ac:dyDescent="0.3">
      <c r="A18" s="19" t="s">
        <v>212</v>
      </c>
      <c r="B18" s="19" t="s">
        <v>112</v>
      </c>
      <c r="C18" s="20">
        <v>1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1">
        <v>1</v>
      </c>
      <c r="J18" s="22">
        <v>0.14000000000000001</v>
      </c>
      <c r="K18" s="22">
        <v>0.12</v>
      </c>
      <c r="L18" s="22">
        <v>0.12</v>
      </c>
      <c r="M18" s="22">
        <v>0.12</v>
      </c>
      <c r="N18" s="22">
        <v>0.12</v>
      </c>
      <c r="O18" s="22">
        <v>0.11</v>
      </c>
      <c r="P18" s="23">
        <v>90</v>
      </c>
      <c r="Q18" s="23">
        <v>9</v>
      </c>
      <c r="R18" s="24">
        <v>90</v>
      </c>
      <c r="S18" s="24">
        <v>90</v>
      </c>
      <c r="T18" s="24">
        <v>90</v>
      </c>
      <c r="U18" s="24">
        <v>90</v>
      </c>
      <c r="V18" s="24">
        <v>90</v>
      </c>
      <c r="W18" s="24">
        <v>90</v>
      </c>
      <c r="X18" s="25">
        <v>13.72</v>
      </c>
      <c r="Y18" s="25">
        <v>12.05</v>
      </c>
      <c r="Z18" s="25">
        <v>11.87</v>
      </c>
      <c r="AA18" s="25">
        <v>11.65</v>
      </c>
      <c r="AB18" s="25">
        <v>11.51</v>
      </c>
      <c r="AC18" s="25">
        <v>11.24</v>
      </c>
      <c r="AD18" s="26">
        <v>12.35</v>
      </c>
      <c r="AE18" s="26">
        <v>10.85</v>
      </c>
      <c r="AF18" s="26">
        <v>10.68</v>
      </c>
      <c r="AG18" s="26">
        <v>10.48</v>
      </c>
      <c r="AH18" s="26">
        <v>10.36</v>
      </c>
      <c r="AI18" s="26">
        <v>10.11</v>
      </c>
      <c r="AJ18" s="27">
        <v>748.11</v>
      </c>
      <c r="AK18" s="27">
        <v>735.55</v>
      </c>
      <c r="AL18" s="27">
        <v>724.35</v>
      </c>
      <c r="AM18" s="27">
        <v>713.15</v>
      </c>
      <c r="AN18" s="27">
        <v>701.95</v>
      </c>
      <c r="AO18" s="27">
        <v>690.75</v>
      </c>
      <c r="AP18" s="28">
        <v>5451.3</v>
      </c>
      <c r="AQ18" s="28">
        <v>6102</v>
      </c>
      <c r="AR18" s="28">
        <v>6104.7</v>
      </c>
      <c r="AS18" s="28">
        <v>6123.6</v>
      </c>
      <c r="AT18" s="28">
        <v>6096.6</v>
      </c>
      <c r="AU18" s="28">
        <v>6147.9</v>
      </c>
      <c r="AV18" s="29">
        <v>6057</v>
      </c>
      <c r="AW18" s="29">
        <v>6780</v>
      </c>
      <c r="AX18" s="29">
        <v>6783</v>
      </c>
      <c r="AY18" s="29">
        <v>6804</v>
      </c>
      <c r="AZ18" s="29">
        <v>6774</v>
      </c>
      <c r="BA18" s="29">
        <v>6831</v>
      </c>
      <c r="BB18" s="30">
        <v>157103</v>
      </c>
      <c r="BC18" s="30">
        <v>156818</v>
      </c>
      <c r="BD18" s="30">
        <v>156818</v>
      </c>
      <c r="BE18" s="30">
        <v>156818</v>
      </c>
      <c r="BF18" s="30">
        <v>156818</v>
      </c>
      <c r="BG18" s="30">
        <v>156818</v>
      </c>
    </row>
    <row r="19" spans="1:59" ht="15.75" thickBot="1" x14ac:dyDescent="0.3">
      <c r="A19" s="19" t="s">
        <v>213</v>
      </c>
      <c r="B19" s="19" t="s">
        <v>66</v>
      </c>
      <c r="C19" s="20">
        <v>1</v>
      </c>
      <c r="D19" s="20">
        <v>1</v>
      </c>
      <c r="E19" s="20">
        <v>1</v>
      </c>
      <c r="F19" s="20">
        <v>1</v>
      </c>
      <c r="G19" s="20">
        <v>1</v>
      </c>
      <c r="H19" s="20">
        <v>1</v>
      </c>
      <c r="I19" s="21">
        <v>1</v>
      </c>
      <c r="J19" s="22">
        <v>0.5</v>
      </c>
      <c r="K19" s="22">
        <v>0.57999999999999996</v>
      </c>
      <c r="L19" s="22">
        <v>0.64</v>
      </c>
      <c r="M19" s="22">
        <v>0.72</v>
      </c>
      <c r="N19" s="22">
        <v>0.81</v>
      </c>
      <c r="O19" s="22">
        <v>0.81</v>
      </c>
      <c r="P19" s="23">
        <v>90</v>
      </c>
      <c r="Q19" s="23">
        <v>17</v>
      </c>
      <c r="R19" s="24">
        <v>90</v>
      </c>
      <c r="S19" s="24">
        <v>90</v>
      </c>
      <c r="T19" s="24">
        <v>90</v>
      </c>
      <c r="U19" s="24">
        <v>90</v>
      </c>
      <c r="V19" s="24">
        <v>90</v>
      </c>
      <c r="W19" s="24">
        <v>90</v>
      </c>
      <c r="X19" s="25">
        <v>49.81</v>
      </c>
      <c r="Y19" s="25">
        <v>58</v>
      </c>
      <c r="Z19" s="25">
        <v>63.77</v>
      </c>
      <c r="AA19" s="25">
        <v>72.11</v>
      </c>
      <c r="AB19" s="25">
        <v>80.52</v>
      </c>
      <c r="AC19" s="25">
        <v>81.42</v>
      </c>
      <c r="AD19" s="26">
        <v>44.83</v>
      </c>
      <c r="AE19" s="26">
        <v>52.2</v>
      </c>
      <c r="AF19" s="26">
        <v>57.39</v>
      </c>
      <c r="AG19" s="26">
        <v>64.900000000000006</v>
      </c>
      <c r="AH19" s="26">
        <v>72.47</v>
      </c>
      <c r="AI19" s="26">
        <v>73.27</v>
      </c>
      <c r="AJ19" s="27">
        <v>2715.46</v>
      </c>
      <c r="AK19" s="27">
        <v>3539.45</v>
      </c>
      <c r="AL19" s="27">
        <v>3893.05</v>
      </c>
      <c r="AM19" s="27">
        <v>4415.91</v>
      </c>
      <c r="AN19" s="27">
        <v>4908.99</v>
      </c>
      <c r="AO19" s="27">
        <v>5005.3900000000003</v>
      </c>
      <c r="AP19" s="28">
        <v>5451.3</v>
      </c>
      <c r="AQ19" s="28">
        <v>6102</v>
      </c>
      <c r="AR19" s="28">
        <v>6104.7</v>
      </c>
      <c r="AS19" s="28">
        <v>6123.6</v>
      </c>
      <c r="AT19" s="28">
        <v>6096.6</v>
      </c>
      <c r="AU19" s="28">
        <v>6147.9</v>
      </c>
      <c r="AV19" s="29">
        <v>6057</v>
      </c>
      <c r="AW19" s="29">
        <v>6780</v>
      </c>
      <c r="AX19" s="29">
        <v>6783</v>
      </c>
      <c r="AY19" s="29">
        <v>6804</v>
      </c>
      <c r="AZ19" s="29">
        <v>6774</v>
      </c>
      <c r="BA19" s="29">
        <v>6831</v>
      </c>
      <c r="BB19" s="30">
        <v>601283</v>
      </c>
      <c r="BC19" s="30">
        <v>814370</v>
      </c>
      <c r="BD19" s="30">
        <v>915194</v>
      </c>
      <c r="BE19" s="30">
        <v>1061725</v>
      </c>
      <c r="BF19" s="30">
        <v>1205325</v>
      </c>
      <c r="BG19" s="30">
        <v>1250662</v>
      </c>
    </row>
    <row r="20" spans="1:59" ht="15.75" thickBot="1" x14ac:dyDescent="0.3">
      <c r="A20" s="19" t="s">
        <v>214</v>
      </c>
      <c r="B20" s="19" t="s">
        <v>220</v>
      </c>
      <c r="C20" s="20">
        <v>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1">
        <v>1</v>
      </c>
      <c r="J20" s="22">
        <v>0.44</v>
      </c>
      <c r="K20" s="22">
        <v>0.32</v>
      </c>
      <c r="L20" s="22">
        <v>0.43</v>
      </c>
      <c r="M20" s="22">
        <v>0.47</v>
      </c>
      <c r="N20" s="22">
        <v>0.5</v>
      </c>
      <c r="O20" s="22">
        <v>0.52</v>
      </c>
      <c r="P20" s="23">
        <v>90</v>
      </c>
      <c r="Q20" s="23">
        <v>42</v>
      </c>
      <c r="R20" s="24">
        <v>90</v>
      </c>
      <c r="S20" s="24">
        <v>90</v>
      </c>
      <c r="T20" s="24">
        <v>90</v>
      </c>
      <c r="U20" s="24">
        <v>90</v>
      </c>
      <c r="V20" s="24">
        <v>90</v>
      </c>
      <c r="W20" s="24">
        <v>90</v>
      </c>
      <c r="X20" s="25">
        <v>44.3</v>
      </c>
      <c r="Y20" s="25">
        <v>32.340000000000003</v>
      </c>
      <c r="Z20" s="25">
        <v>43.46</v>
      </c>
      <c r="AA20" s="25">
        <v>46.53</v>
      </c>
      <c r="AB20" s="25">
        <v>49.82</v>
      </c>
      <c r="AC20" s="25">
        <v>52.35</v>
      </c>
      <c r="AD20" s="26">
        <v>39.869999999999997</v>
      </c>
      <c r="AE20" s="26">
        <v>29.1</v>
      </c>
      <c r="AF20" s="26">
        <v>39.119999999999997</v>
      </c>
      <c r="AG20" s="26">
        <v>41.87</v>
      </c>
      <c r="AH20" s="26">
        <v>44.84</v>
      </c>
      <c r="AI20" s="26">
        <v>47.12</v>
      </c>
      <c r="AJ20" s="27">
        <v>2415.14</v>
      </c>
      <c r="AK20" s="27">
        <v>1973.24</v>
      </c>
      <c r="AL20" s="27">
        <v>2653.27</v>
      </c>
      <c r="AM20" s="27">
        <v>2849.13</v>
      </c>
      <c r="AN20" s="27">
        <v>3037.55</v>
      </c>
      <c r="AO20" s="27">
        <v>3218.54</v>
      </c>
      <c r="AP20" s="28">
        <v>5451.3</v>
      </c>
      <c r="AQ20" s="28">
        <v>6102</v>
      </c>
      <c r="AR20" s="28">
        <v>6104.7</v>
      </c>
      <c r="AS20" s="28">
        <v>6123.6</v>
      </c>
      <c r="AT20" s="28">
        <v>6096.6</v>
      </c>
      <c r="AU20" s="28">
        <v>6147.9</v>
      </c>
      <c r="AV20" s="29">
        <v>6057</v>
      </c>
      <c r="AW20" s="29">
        <v>6780</v>
      </c>
      <c r="AX20" s="29">
        <v>6783</v>
      </c>
      <c r="AY20" s="29">
        <v>6804</v>
      </c>
      <c r="AZ20" s="29">
        <v>6774</v>
      </c>
      <c r="BA20" s="29">
        <v>6831</v>
      </c>
      <c r="BB20" s="30">
        <v>545820</v>
      </c>
      <c r="BC20" s="30">
        <v>452911</v>
      </c>
      <c r="BD20" s="30">
        <v>628601</v>
      </c>
      <c r="BE20" s="30">
        <v>688135</v>
      </c>
      <c r="BF20" s="30">
        <v>747669</v>
      </c>
      <c r="BG20" s="30">
        <v>807202</v>
      </c>
    </row>
    <row r="21" spans="1:59" ht="15.75" thickBot="1" x14ac:dyDescent="0.3">
      <c r="A21" s="19" t="s">
        <v>215</v>
      </c>
      <c r="B21" s="19" t="s">
        <v>101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1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3">
        <v>0</v>
      </c>
      <c r="Q21" s="23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5" t="s">
        <v>147</v>
      </c>
      <c r="Y21" s="25" t="s">
        <v>188</v>
      </c>
      <c r="Z21" s="25" t="s">
        <v>188</v>
      </c>
      <c r="AA21" s="25" t="s">
        <v>188</v>
      </c>
      <c r="AB21" s="25" t="s">
        <v>188</v>
      </c>
      <c r="AC21" s="25" t="s">
        <v>188</v>
      </c>
      <c r="AD21" s="26" t="s">
        <v>147</v>
      </c>
      <c r="AE21" s="26" t="s">
        <v>188</v>
      </c>
      <c r="AF21" s="26" t="s">
        <v>188</v>
      </c>
      <c r="AG21" s="26" t="s">
        <v>188</v>
      </c>
      <c r="AH21" s="26" t="s">
        <v>188</v>
      </c>
      <c r="AI21" s="26" t="s">
        <v>188</v>
      </c>
      <c r="AJ21" s="27">
        <v>0</v>
      </c>
      <c r="AK21" s="27">
        <v>25.83</v>
      </c>
      <c r="AL21" s="27">
        <v>1560.75</v>
      </c>
      <c r="AM21" s="27">
        <v>2048.8200000000002</v>
      </c>
      <c r="AN21" s="27">
        <v>2520.8000000000002</v>
      </c>
      <c r="AO21" s="27">
        <v>2976.69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</v>
      </c>
      <c r="BA21" s="29">
        <v>0</v>
      </c>
      <c r="BB21" s="30">
        <v>0</v>
      </c>
      <c r="BC21" s="30">
        <v>2911</v>
      </c>
      <c r="BD21" s="30">
        <v>178601</v>
      </c>
      <c r="BE21" s="30">
        <v>238135</v>
      </c>
      <c r="BF21" s="30">
        <v>297669</v>
      </c>
      <c r="BG21" s="30">
        <v>357202</v>
      </c>
    </row>
    <row r="22" spans="1:59" ht="15.75" thickBot="1" x14ac:dyDescent="0.3">
      <c r="A22" s="19" t="s">
        <v>216</v>
      </c>
      <c r="B22" s="19" t="s">
        <v>217</v>
      </c>
      <c r="C22" s="20">
        <v>1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1">
        <v>1</v>
      </c>
      <c r="J22" s="22">
        <v>0.38</v>
      </c>
      <c r="K22" s="22">
        <v>0.05</v>
      </c>
      <c r="L22" s="22">
        <v>0.05</v>
      </c>
      <c r="M22" s="22">
        <v>0.05</v>
      </c>
      <c r="N22" s="22">
        <v>0.05</v>
      </c>
      <c r="O22" s="22">
        <v>0.05</v>
      </c>
      <c r="P22" s="23">
        <v>75</v>
      </c>
      <c r="Q22" s="23">
        <v>0</v>
      </c>
      <c r="R22" s="24">
        <v>75</v>
      </c>
      <c r="S22" s="24">
        <v>75</v>
      </c>
      <c r="T22" s="24">
        <v>75</v>
      </c>
      <c r="U22" s="24">
        <v>75</v>
      </c>
      <c r="V22" s="24">
        <v>75</v>
      </c>
      <c r="W22" s="24">
        <v>75</v>
      </c>
      <c r="X22" s="25">
        <v>37.700000000000003</v>
      </c>
      <c r="Y22" s="25">
        <v>5.46</v>
      </c>
      <c r="Z22" s="25">
        <v>5.43</v>
      </c>
      <c r="AA22" s="25">
        <v>5.3</v>
      </c>
      <c r="AB22" s="25">
        <v>5.25</v>
      </c>
      <c r="AC22" s="25">
        <v>5.15</v>
      </c>
      <c r="AD22" s="26">
        <v>28.28</v>
      </c>
      <c r="AE22" s="26">
        <v>4.0999999999999996</v>
      </c>
      <c r="AF22" s="26">
        <v>4.07</v>
      </c>
      <c r="AG22" s="26">
        <v>3.97</v>
      </c>
      <c r="AH22" s="26">
        <v>3.94</v>
      </c>
      <c r="AI22" s="26">
        <v>3.86</v>
      </c>
      <c r="AJ22" s="27">
        <v>821.14</v>
      </c>
      <c r="AK22" s="27">
        <v>124.54</v>
      </c>
      <c r="AL22" s="27">
        <v>122.64</v>
      </c>
      <c r="AM22" s="27">
        <v>120.74</v>
      </c>
      <c r="AN22" s="27">
        <v>118.85</v>
      </c>
      <c r="AO22" s="27">
        <v>116.95</v>
      </c>
      <c r="AP22" s="28">
        <v>2178</v>
      </c>
      <c r="AQ22" s="28">
        <v>2279.25</v>
      </c>
      <c r="AR22" s="28">
        <v>2259</v>
      </c>
      <c r="AS22" s="28">
        <v>2279.25</v>
      </c>
      <c r="AT22" s="28">
        <v>2263.5</v>
      </c>
      <c r="AU22" s="28">
        <v>2272.5</v>
      </c>
      <c r="AV22" s="29">
        <v>2904</v>
      </c>
      <c r="AW22" s="29">
        <v>3039</v>
      </c>
      <c r="AX22" s="29">
        <v>3012</v>
      </c>
      <c r="AY22" s="29">
        <v>3039</v>
      </c>
      <c r="AZ22" s="29">
        <v>3018</v>
      </c>
      <c r="BA22" s="29">
        <v>3030</v>
      </c>
      <c r="BB22" s="30">
        <v>295020</v>
      </c>
      <c r="BC22" s="30">
        <v>45425</v>
      </c>
      <c r="BD22" s="30">
        <v>45425</v>
      </c>
      <c r="BE22" s="30">
        <v>45425</v>
      </c>
      <c r="BF22" s="30">
        <v>45425</v>
      </c>
      <c r="BG22" s="30">
        <v>45425</v>
      </c>
    </row>
  </sheetData>
  <mergeCells count="11">
    <mergeCell ref="AD1:AI1"/>
    <mergeCell ref="AJ1:AO1"/>
    <mergeCell ref="AP1:AU1"/>
    <mergeCell ref="AV1:BA1"/>
    <mergeCell ref="BB1:BG1"/>
    <mergeCell ref="X1:AC1"/>
    <mergeCell ref="A1:B1"/>
    <mergeCell ref="C1:H1"/>
    <mergeCell ref="J1:O1"/>
    <mergeCell ref="P1:Q1"/>
    <mergeCell ref="R1:W1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1CB5-EDFC-4ACC-AC49-813237117B1F}">
  <dimension ref="A1:BG13"/>
  <sheetViews>
    <sheetView topLeftCell="AM1" workbookViewId="0">
      <selection activeCell="AV26" sqref="AV26"/>
    </sheetView>
  </sheetViews>
  <sheetFormatPr defaultRowHeight="15" x14ac:dyDescent="0.25"/>
  <cols>
    <col min="1" max="59" width="16" customWidth="1"/>
  </cols>
  <sheetData>
    <row r="1" spans="1:59" ht="15.75" thickBot="1" x14ac:dyDescent="0.3">
      <c r="A1" s="197"/>
      <c r="B1" s="199"/>
      <c r="C1" s="197" t="s">
        <v>130</v>
      </c>
      <c r="D1" s="198"/>
      <c r="E1" s="198"/>
      <c r="F1" s="198"/>
      <c r="G1" s="198"/>
      <c r="H1" s="199"/>
      <c r="I1" s="7" t="s">
        <v>175</v>
      </c>
      <c r="J1" s="197" t="s">
        <v>176</v>
      </c>
      <c r="K1" s="198"/>
      <c r="L1" s="198"/>
      <c r="M1" s="198"/>
      <c r="N1" s="198"/>
      <c r="O1" s="199"/>
      <c r="P1" s="197" t="s">
        <v>133</v>
      </c>
      <c r="Q1" s="199"/>
      <c r="R1" s="197" t="s">
        <v>134</v>
      </c>
      <c r="S1" s="198"/>
      <c r="T1" s="198"/>
      <c r="U1" s="198"/>
      <c r="V1" s="198"/>
      <c r="W1" s="199"/>
      <c r="X1" s="197" t="s">
        <v>135</v>
      </c>
      <c r="Y1" s="198"/>
      <c r="Z1" s="198"/>
      <c r="AA1" s="198"/>
      <c r="AB1" s="198"/>
      <c r="AC1" s="199"/>
      <c r="AD1" s="197" t="s">
        <v>136</v>
      </c>
      <c r="AE1" s="198"/>
      <c r="AF1" s="198"/>
      <c r="AG1" s="198"/>
      <c r="AH1" s="198"/>
      <c r="AI1" s="199"/>
      <c r="AJ1" s="197" t="s">
        <v>177</v>
      </c>
      <c r="AK1" s="198"/>
      <c r="AL1" s="198"/>
      <c r="AM1" s="198"/>
      <c r="AN1" s="198"/>
      <c r="AO1" s="199"/>
      <c r="AP1" s="197" t="s">
        <v>138</v>
      </c>
      <c r="AQ1" s="198"/>
      <c r="AR1" s="198"/>
      <c r="AS1" s="198"/>
      <c r="AT1" s="198"/>
      <c r="AU1" s="199"/>
      <c r="AV1" s="197" t="s">
        <v>139</v>
      </c>
      <c r="AW1" s="198"/>
      <c r="AX1" s="198"/>
      <c r="AY1" s="198"/>
      <c r="AZ1" s="198"/>
      <c r="BA1" s="199"/>
      <c r="BB1" s="197" t="s">
        <v>140</v>
      </c>
      <c r="BC1" s="198"/>
      <c r="BD1" s="198"/>
      <c r="BE1" s="198"/>
      <c r="BF1" s="198"/>
      <c r="BG1" s="199"/>
    </row>
    <row r="2" spans="1:59" ht="15.75" thickBot="1" x14ac:dyDescent="0.3">
      <c r="A2" s="7" t="s">
        <v>141</v>
      </c>
      <c r="B2" s="7" t="s">
        <v>142</v>
      </c>
      <c r="C2" s="7">
        <v>2025</v>
      </c>
      <c r="D2" s="7">
        <v>2026</v>
      </c>
      <c r="E2" s="7">
        <v>2027</v>
      </c>
      <c r="F2" s="7">
        <v>2028</v>
      </c>
      <c r="G2" s="7">
        <v>2029</v>
      </c>
      <c r="H2" s="7">
        <v>2030</v>
      </c>
      <c r="I2" s="7" t="s">
        <v>143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 t="s">
        <v>144</v>
      </c>
      <c r="Q2" s="7" t="s">
        <v>145</v>
      </c>
      <c r="R2" s="7">
        <v>2025</v>
      </c>
      <c r="S2" s="7">
        <v>2026</v>
      </c>
      <c r="T2" s="7">
        <v>2027</v>
      </c>
      <c r="U2" s="7">
        <v>2028</v>
      </c>
      <c r="V2" s="7">
        <v>2029</v>
      </c>
      <c r="W2" s="7">
        <v>2030</v>
      </c>
      <c r="X2" s="7">
        <v>2025</v>
      </c>
      <c r="Y2" s="7">
        <v>2026</v>
      </c>
      <c r="Z2" s="7">
        <v>2027</v>
      </c>
      <c r="AA2" s="7">
        <v>2028</v>
      </c>
      <c r="AB2" s="7">
        <v>2029</v>
      </c>
      <c r="AC2" s="7">
        <v>2030</v>
      </c>
      <c r="AD2" s="7">
        <v>2025</v>
      </c>
      <c r="AE2" s="7">
        <v>2026</v>
      </c>
      <c r="AF2" s="7">
        <v>2027</v>
      </c>
      <c r="AG2" s="7">
        <v>2028</v>
      </c>
      <c r="AH2" s="7">
        <v>2029</v>
      </c>
      <c r="AI2" s="7">
        <v>2030</v>
      </c>
      <c r="AJ2" s="7">
        <v>2025</v>
      </c>
      <c r="AK2" s="7">
        <v>2026</v>
      </c>
      <c r="AL2" s="7">
        <v>2027</v>
      </c>
      <c r="AM2" s="7">
        <v>2028</v>
      </c>
      <c r="AN2" s="7">
        <v>2029</v>
      </c>
      <c r="AO2" s="7">
        <v>2030</v>
      </c>
      <c r="AP2" s="7">
        <v>2025</v>
      </c>
      <c r="AQ2" s="7">
        <v>2026</v>
      </c>
      <c r="AR2" s="7">
        <v>2027</v>
      </c>
      <c r="AS2" s="7">
        <v>2028</v>
      </c>
      <c r="AT2" s="7">
        <v>2029</v>
      </c>
      <c r="AU2" s="7">
        <v>2030</v>
      </c>
      <c r="AV2" s="7">
        <v>2025</v>
      </c>
      <c r="AW2" s="7">
        <v>2026</v>
      </c>
      <c r="AX2" s="7">
        <v>2027</v>
      </c>
      <c r="AY2" s="7">
        <v>2028</v>
      </c>
      <c r="AZ2" s="7">
        <v>2029</v>
      </c>
      <c r="BA2" s="7">
        <v>2030</v>
      </c>
      <c r="BB2" s="7">
        <v>2025</v>
      </c>
      <c r="BC2" s="7">
        <v>2026</v>
      </c>
      <c r="BD2" s="7">
        <v>2027</v>
      </c>
      <c r="BE2" s="7">
        <v>2028</v>
      </c>
      <c r="BF2" s="7">
        <v>2029</v>
      </c>
      <c r="BG2" s="7">
        <v>2030</v>
      </c>
    </row>
    <row r="3" spans="1:59" ht="15.75" thickBot="1" x14ac:dyDescent="0.3">
      <c r="A3" s="7" t="s">
        <v>146</v>
      </c>
      <c r="B3" s="7"/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9">
        <v>10</v>
      </c>
      <c r="J3" s="10">
        <v>5.88</v>
      </c>
      <c r="K3" s="10">
        <v>4.38</v>
      </c>
      <c r="L3" s="10">
        <v>4.34</v>
      </c>
      <c r="M3" s="10">
        <v>4.29</v>
      </c>
      <c r="N3" s="10">
        <v>4.28</v>
      </c>
      <c r="O3" s="10">
        <v>4.1900000000000004</v>
      </c>
      <c r="P3" s="11">
        <v>63</v>
      </c>
      <c r="Q3" s="11">
        <v>14.8</v>
      </c>
      <c r="R3" s="12">
        <v>63</v>
      </c>
      <c r="S3" s="12">
        <v>63</v>
      </c>
      <c r="T3" s="12">
        <v>63</v>
      </c>
      <c r="U3" s="12">
        <v>63</v>
      </c>
      <c r="V3" s="12">
        <v>63</v>
      </c>
      <c r="W3" s="12">
        <v>63</v>
      </c>
      <c r="X3" s="13">
        <v>58.72</v>
      </c>
      <c r="Y3" s="13">
        <v>43.6</v>
      </c>
      <c r="Z3" s="13">
        <v>43.5</v>
      </c>
      <c r="AA3" s="13">
        <v>42.92</v>
      </c>
      <c r="AB3" s="13">
        <v>42.79</v>
      </c>
      <c r="AC3" s="13">
        <v>41.92</v>
      </c>
      <c r="AD3" s="14">
        <v>37.090000000000003</v>
      </c>
      <c r="AE3" s="14">
        <v>27.47</v>
      </c>
      <c r="AF3" s="14">
        <v>27.35</v>
      </c>
      <c r="AG3" s="14">
        <v>26.92</v>
      </c>
      <c r="AH3" s="14">
        <v>26.78</v>
      </c>
      <c r="AI3" s="14">
        <v>26.21</v>
      </c>
      <c r="AJ3" s="15">
        <v>14022.56</v>
      </c>
      <c r="AK3" s="15">
        <v>11896.86</v>
      </c>
      <c r="AL3" s="15">
        <v>12025.69</v>
      </c>
      <c r="AM3" s="15">
        <v>12176.41</v>
      </c>
      <c r="AN3" s="15">
        <v>12308.71</v>
      </c>
      <c r="AO3" s="15">
        <v>12226.29</v>
      </c>
      <c r="AP3" s="16">
        <v>24718.93</v>
      </c>
      <c r="AQ3" s="16">
        <v>26879.8</v>
      </c>
      <c r="AR3" s="16">
        <v>26809.71</v>
      </c>
      <c r="AS3" s="16">
        <v>26940.61</v>
      </c>
      <c r="AT3" s="16">
        <v>26803.06</v>
      </c>
      <c r="AU3" s="16">
        <v>26989.82</v>
      </c>
      <c r="AV3" s="17">
        <v>39627.300000000003</v>
      </c>
      <c r="AW3" s="17">
        <v>43134</v>
      </c>
      <c r="AX3" s="17">
        <v>43027.8</v>
      </c>
      <c r="AY3" s="17">
        <v>43233.9</v>
      </c>
      <c r="AZ3" s="17">
        <v>43014.9</v>
      </c>
      <c r="BA3" s="17">
        <v>43317.599999999999</v>
      </c>
      <c r="BB3" s="18">
        <v>16880190</v>
      </c>
      <c r="BC3" s="18">
        <v>13855631</v>
      </c>
      <c r="BD3" s="18">
        <v>13843921</v>
      </c>
      <c r="BE3" s="18">
        <v>13828308</v>
      </c>
      <c r="BF3" s="18">
        <v>13808388</v>
      </c>
      <c r="BG3" s="18">
        <v>13778791</v>
      </c>
    </row>
    <row r="4" spans="1:59" ht="15.75" thickBot="1" x14ac:dyDescent="0.3">
      <c r="A4" s="19" t="s">
        <v>221</v>
      </c>
      <c r="B4" s="19" t="s">
        <v>222</v>
      </c>
      <c r="C4" s="20">
        <v>1</v>
      </c>
      <c r="D4" s="20">
        <v>1</v>
      </c>
      <c r="E4" s="20">
        <v>1</v>
      </c>
      <c r="F4" s="20">
        <v>1</v>
      </c>
      <c r="G4" s="20">
        <v>1</v>
      </c>
      <c r="H4" s="20">
        <v>1</v>
      </c>
      <c r="I4" s="21">
        <v>1</v>
      </c>
      <c r="J4" s="22">
        <v>0.39</v>
      </c>
      <c r="K4" s="22">
        <v>0.5</v>
      </c>
      <c r="L4" s="22">
        <v>0.54</v>
      </c>
      <c r="M4" s="22">
        <v>0.6</v>
      </c>
      <c r="N4" s="22">
        <v>0.66</v>
      </c>
      <c r="O4" s="22">
        <v>0.67</v>
      </c>
      <c r="P4" s="23">
        <v>60</v>
      </c>
      <c r="Q4" s="23">
        <v>18</v>
      </c>
      <c r="R4" s="24">
        <v>60</v>
      </c>
      <c r="S4" s="24">
        <v>60</v>
      </c>
      <c r="T4" s="24">
        <v>60</v>
      </c>
      <c r="U4" s="24">
        <v>60</v>
      </c>
      <c r="V4" s="24">
        <v>60</v>
      </c>
      <c r="W4" s="24">
        <v>60</v>
      </c>
      <c r="X4" s="25">
        <v>39.14</v>
      </c>
      <c r="Y4" s="25">
        <v>49.86</v>
      </c>
      <c r="Z4" s="25">
        <v>54.08</v>
      </c>
      <c r="AA4" s="25">
        <v>60.22</v>
      </c>
      <c r="AB4" s="25">
        <v>66.459999999999994</v>
      </c>
      <c r="AC4" s="25">
        <v>66.98</v>
      </c>
      <c r="AD4" s="26">
        <v>23.49</v>
      </c>
      <c r="AE4" s="26">
        <v>29.91</v>
      </c>
      <c r="AF4" s="26">
        <v>32.450000000000003</v>
      </c>
      <c r="AG4" s="26">
        <v>36.130000000000003</v>
      </c>
      <c r="AH4" s="26">
        <v>39.880000000000003</v>
      </c>
      <c r="AI4" s="26">
        <v>40.19</v>
      </c>
      <c r="AJ4" s="27">
        <v>1422.58</v>
      </c>
      <c r="AK4" s="27">
        <v>2028.22</v>
      </c>
      <c r="AL4" s="27">
        <v>2201.0700000000002</v>
      </c>
      <c r="AM4" s="27">
        <v>2458.5700000000002</v>
      </c>
      <c r="AN4" s="27">
        <v>2701.17</v>
      </c>
      <c r="AO4" s="27">
        <v>2745.43</v>
      </c>
      <c r="AP4" s="28">
        <v>3634.2</v>
      </c>
      <c r="AQ4" s="28">
        <v>4068</v>
      </c>
      <c r="AR4" s="28">
        <v>4069.8</v>
      </c>
      <c r="AS4" s="28">
        <v>4082.4</v>
      </c>
      <c r="AT4" s="28">
        <v>4064.4</v>
      </c>
      <c r="AU4" s="28">
        <v>4098.6000000000004</v>
      </c>
      <c r="AV4" s="29">
        <v>6057</v>
      </c>
      <c r="AW4" s="29">
        <v>6780</v>
      </c>
      <c r="AX4" s="29">
        <v>6783</v>
      </c>
      <c r="AY4" s="29">
        <v>6804</v>
      </c>
      <c r="AZ4" s="29">
        <v>6774</v>
      </c>
      <c r="BA4" s="29">
        <v>6831</v>
      </c>
      <c r="BB4" s="30">
        <v>737411</v>
      </c>
      <c r="BC4" s="30">
        <v>1030302</v>
      </c>
      <c r="BD4" s="30">
        <v>1131126</v>
      </c>
      <c r="BE4" s="30">
        <v>1277657</v>
      </c>
      <c r="BF4" s="30">
        <v>1421257</v>
      </c>
      <c r="BG4" s="30">
        <v>1466594</v>
      </c>
    </row>
    <row r="5" spans="1:59" ht="15.75" thickBot="1" x14ac:dyDescent="0.3">
      <c r="A5" s="19" t="s">
        <v>223</v>
      </c>
      <c r="B5" s="19" t="s">
        <v>224</v>
      </c>
      <c r="C5" s="20">
        <v>1</v>
      </c>
      <c r="D5" s="20">
        <v>1</v>
      </c>
      <c r="E5" s="20">
        <v>1</v>
      </c>
      <c r="F5" s="20">
        <v>1</v>
      </c>
      <c r="G5" s="20">
        <v>1</v>
      </c>
      <c r="H5" s="20">
        <v>1</v>
      </c>
      <c r="I5" s="21">
        <v>1</v>
      </c>
      <c r="J5" s="22">
        <v>0.27</v>
      </c>
      <c r="K5" s="22">
        <v>0.26</v>
      </c>
      <c r="L5" s="22">
        <v>0.24</v>
      </c>
      <c r="M5" s="22">
        <v>0.22</v>
      </c>
      <c r="N5" s="22">
        <v>0.21</v>
      </c>
      <c r="O5" s="22">
        <v>0.2</v>
      </c>
      <c r="P5" s="23">
        <v>60</v>
      </c>
      <c r="Q5" s="23">
        <v>8</v>
      </c>
      <c r="R5" s="24">
        <v>60</v>
      </c>
      <c r="S5" s="24">
        <v>60</v>
      </c>
      <c r="T5" s="24">
        <v>60</v>
      </c>
      <c r="U5" s="24">
        <v>60</v>
      </c>
      <c r="V5" s="24">
        <v>60</v>
      </c>
      <c r="W5" s="24">
        <v>60</v>
      </c>
      <c r="X5" s="25">
        <v>27.32</v>
      </c>
      <c r="Y5" s="25">
        <v>25.63</v>
      </c>
      <c r="Z5" s="25">
        <v>23.96</v>
      </c>
      <c r="AA5" s="25">
        <v>22.33</v>
      </c>
      <c r="AB5" s="25">
        <v>20.87</v>
      </c>
      <c r="AC5" s="25">
        <v>19.77</v>
      </c>
      <c r="AD5" s="26">
        <v>16.39</v>
      </c>
      <c r="AE5" s="26">
        <v>15.38</v>
      </c>
      <c r="AF5" s="26">
        <v>14.38</v>
      </c>
      <c r="AG5" s="26">
        <v>13.4</v>
      </c>
      <c r="AH5" s="26">
        <v>12.52</v>
      </c>
      <c r="AI5" s="26">
        <v>11.86</v>
      </c>
      <c r="AJ5" s="27">
        <v>709.96</v>
      </c>
      <c r="AK5" s="27">
        <v>736.99</v>
      </c>
      <c r="AL5" s="27">
        <v>690.25</v>
      </c>
      <c r="AM5" s="27">
        <v>644.62</v>
      </c>
      <c r="AN5" s="27">
        <v>600.08000000000004</v>
      </c>
      <c r="AO5" s="27">
        <v>573.55999999999995</v>
      </c>
      <c r="AP5" s="28">
        <v>2598.66</v>
      </c>
      <c r="AQ5" s="28">
        <v>2875.8</v>
      </c>
      <c r="AR5" s="28">
        <v>2880.36</v>
      </c>
      <c r="AS5" s="28">
        <v>2886.18</v>
      </c>
      <c r="AT5" s="28">
        <v>2875.38</v>
      </c>
      <c r="AU5" s="28">
        <v>2901.12</v>
      </c>
      <c r="AV5" s="29">
        <v>4331.1000000000004</v>
      </c>
      <c r="AW5" s="29">
        <v>4793</v>
      </c>
      <c r="AX5" s="29">
        <v>4800.6000000000004</v>
      </c>
      <c r="AY5" s="29">
        <v>4810.3</v>
      </c>
      <c r="AZ5" s="29">
        <v>4792.3</v>
      </c>
      <c r="BA5" s="29">
        <v>4835.2</v>
      </c>
      <c r="BB5" s="30">
        <v>1113552</v>
      </c>
      <c r="BC5" s="30">
        <v>1190024</v>
      </c>
      <c r="BD5" s="30">
        <v>1131953</v>
      </c>
      <c r="BE5" s="30">
        <v>1073885</v>
      </c>
      <c r="BF5" s="30">
        <v>1015814</v>
      </c>
      <c r="BG5" s="30">
        <v>986778</v>
      </c>
    </row>
    <row r="6" spans="1:59" ht="15.75" thickBot="1" x14ac:dyDescent="0.3">
      <c r="A6" s="19" t="s">
        <v>225</v>
      </c>
      <c r="B6" s="19" t="s">
        <v>226</v>
      </c>
      <c r="C6" s="20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1">
        <v>1</v>
      </c>
      <c r="J6" s="22">
        <v>1.1100000000000001</v>
      </c>
      <c r="K6" s="22">
        <v>0.8</v>
      </c>
      <c r="L6" s="22">
        <v>0.74</v>
      </c>
      <c r="M6" s="22">
        <v>0.67</v>
      </c>
      <c r="N6" s="22">
        <v>0.62</v>
      </c>
      <c r="O6" s="22">
        <v>0.57999999999999996</v>
      </c>
      <c r="P6" s="23">
        <v>65</v>
      </c>
      <c r="Q6" s="23">
        <v>31</v>
      </c>
      <c r="R6" s="24">
        <v>65</v>
      </c>
      <c r="S6" s="24">
        <v>65</v>
      </c>
      <c r="T6" s="24">
        <v>65</v>
      </c>
      <c r="U6" s="24">
        <v>65</v>
      </c>
      <c r="V6" s="24">
        <v>65</v>
      </c>
      <c r="W6" s="24">
        <v>65</v>
      </c>
      <c r="X6" s="25">
        <v>110.75</v>
      </c>
      <c r="Y6" s="25">
        <v>79.680000000000007</v>
      </c>
      <c r="Z6" s="25">
        <v>74.010000000000005</v>
      </c>
      <c r="AA6" s="25">
        <v>67.180000000000007</v>
      </c>
      <c r="AB6" s="25">
        <v>61.6</v>
      </c>
      <c r="AC6" s="25">
        <v>57.93</v>
      </c>
      <c r="AD6" s="26">
        <v>71.989999999999995</v>
      </c>
      <c r="AE6" s="26">
        <v>51.79</v>
      </c>
      <c r="AF6" s="26">
        <v>48.11</v>
      </c>
      <c r="AG6" s="26">
        <v>43.67</v>
      </c>
      <c r="AH6" s="26">
        <v>40.04</v>
      </c>
      <c r="AI6" s="26">
        <v>37.65</v>
      </c>
      <c r="AJ6" s="27">
        <v>2090.4499999999998</v>
      </c>
      <c r="AK6" s="27">
        <v>1574.04</v>
      </c>
      <c r="AL6" s="27">
        <v>1449</v>
      </c>
      <c r="AM6" s="27">
        <v>1327.08</v>
      </c>
      <c r="AN6" s="27">
        <v>1208.32</v>
      </c>
      <c r="AO6" s="27">
        <v>1140.8399999999999</v>
      </c>
      <c r="AP6" s="28">
        <v>1887.6</v>
      </c>
      <c r="AQ6" s="28">
        <v>1975.35</v>
      </c>
      <c r="AR6" s="28">
        <v>1957.8</v>
      </c>
      <c r="AS6" s="28">
        <v>1975.35</v>
      </c>
      <c r="AT6" s="28">
        <v>1961.7</v>
      </c>
      <c r="AU6" s="28">
        <v>1969.5</v>
      </c>
      <c r="AV6" s="29">
        <v>2904</v>
      </c>
      <c r="AW6" s="29">
        <v>3039</v>
      </c>
      <c r="AX6" s="29">
        <v>3012</v>
      </c>
      <c r="AY6" s="29">
        <v>3039</v>
      </c>
      <c r="AZ6" s="29">
        <v>3018</v>
      </c>
      <c r="BA6" s="29">
        <v>3030</v>
      </c>
      <c r="BB6" s="30">
        <v>2546723</v>
      </c>
      <c r="BC6" s="30">
        <v>1721613</v>
      </c>
      <c r="BD6" s="30">
        <v>1557280</v>
      </c>
      <c r="BE6" s="30">
        <v>1392947</v>
      </c>
      <c r="BF6" s="30">
        <v>1228614</v>
      </c>
      <c r="BG6" s="30">
        <v>1146447</v>
      </c>
    </row>
    <row r="7" spans="1:59" ht="15.75" thickBot="1" x14ac:dyDescent="0.3">
      <c r="A7" s="19" t="s">
        <v>227</v>
      </c>
      <c r="B7" s="19" t="s">
        <v>228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1">
        <v>1</v>
      </c>
      <c r="J7" s="22">
        <v>1.17</v>
      </c>
      <c r="K7" s="22">
        <v>0.28000000000000003</v>
      </c>
      <c r="L7" s="22">
        <v>0.23</v>
      </c>
      <c r="M7" s="22">
        <v>0.19</v>
      </c>
      <c r="N7" s="22">
        <v>0.14000000000000001</v>
      </c>
      <c r="O7" s="22">
        <v>0.12</v>
      </c>
      <c r="P7" s="23">
        <v>65</v>
      </c>
      <c r="Q7" s="23">
        <v>3</v>
      </c>
      <c r="R7" s="24">
        <v>65</v>
      </c>
      <c r="S7" s="24">
        <v>65</v>
      </c>
      <c r="T7" s="24">
        <v>65</v>
      </c>
      <c r="U7" s="24">
        <v>65</v>
      </c>
      <c r="V7" s="24">
        <v>65</v>
      </c>
      <c r="W7" s="24">
        <v>65</v>
      </c>
      <c r="X7" s="25">
        <v>116.7</v>
      </c>
      <c r="Y7" s="25">
        <v>27.63</v>
      </c>
      <c r="Z7" s="25">
        <v>23.23</v>
      </c>
      <c r="AA7" s="25">
        <v>18.55</v>
      </c>
      <c r="AB7" s="25">
        <v>14.3</v>
      </c>
      <c r="AC7" s="25">
        <v>12.01</v>
      </c>
      <c r="AD7" s="26">
        <v>75.86</v>
      </c>
      <c r="AE7" s="26">
        <v>17.96</v>
      </c>
      <c r="AF7" s="26">
        <v>15.1</v>
      </c>
      <c r="AG7" s="26">
        <v>12.06</v>
      </c>
      <c r="AH7" s="26">
        <v>9.2899999999999991</v>
      </c>
      <c r="AI7" s="26">
        <v>7.81</v>
      </c>
      <c r="AJ7" s="27">
        <v>2202.84</v>
      </c>
      <c r="AK7" s="27">
        <v>545.83000000000004</v>
      </c>
      <c r="AL7" s="27">
        <v>454.83</v>
      </c>
      <c r="AM7" s="27">
        <v>366.38</v>
      </c>
      <c r="AN7" s="27">
        <v>280.48</v>
      </c>
      <c r="AO7" s="27">
        <v>236.58</v>
      </c>
      <c r="AP7" s="28">
        <v>1887.6</v>
      </c>
      <c r="AQ7" s="28">
        <v>1975.35</v>
      </c>
      <c r="AR7" s="28">
        <v>1957.8</v>
      </c>
      <c r="AS7" s="28">
        <v>1975.35</v>
      </c>
      <c r="AT7" s="28">
        <v>1961.7</v>
      </c>
      <c r="AU7" s="28">
        <v>1969.5</v>
      </c>
      <c r="AV7" s="29">
        <v>2904</v>
      </c>
      <c r="AW7" s="29">
        <v>3039</v>
      </c>
      <c r="AX7" s="29">
        <v>3012</v>
      </c>
      <c r="AY7" s="29">
        <v>3039</v>
      </c>
      <c r="AZ7" s="29">
        <v>3018</v>
      </c>
      <c r="BA7" s="29">
        <v>3030</v>
      </c>
      <c r="BB7" s="30">
        <v>2812488</v>
      </c>
      <c r="BC7" s="30">
        <v>698228</v>
      </c>
      <c r="BD7" s="30">
        <v>590808</v>
      </c>
      <c r="BE7" s="30">
        <v>483389</v>
      </c>
      <c r="BF7" s="30">
        <v>375969</v>
      </c>
      <c r="BG7" s="30">
        <v>322259</v>
      </c>
    </row>
    <row r="8" spans="1:59" ht="15.75" thickBot="1" x14ac:dyDescent="0.3">
      <c r="A8" s="19" t="s">
        <v>229</v>
      </c>
      <c r="B8" s="19" t="s">
        <v>230</v>
      </c>
      <c r="C8" s="20">
        <v>1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1">
        <v>1</v>
      </c>
      <c r="J8" s="22">
        <v>0.22</v>
      </c>
      <c r="K8" s="22">
        <v>0.28000000000000003</v>
      </c>
      <c r="L8" s="22">
        <v>0.27</v>
      </c>
      <c r="M8" s="22">
        <v>0.25</v>
      </c>
      <c r="N8" s="22">
        <v>0.24</v>
      </c>
      <c r="O8" s="22">
        <v>0.23</v>
      </c>
      <c r="P8" s="23">
        <v>65</v>
      </c>
      <c r="Q8" s="23">
        <v>12</v>
      </c>
      <c r="R8" s="24">
        <v>65</v>
      </c>
      <c r="S8" s="24">
        <v>65</v>
      </c>
      <c r="T8" s="24">
        <v>65</v>
      </c>
      <c r="U8" s="24">
        <v>65</v>
      </c>
      <c r="V8" s="24">
        <v>65</v>
      </c>
      <c r="W8" s="24">
        <v>65</v>
      </c>
      <c r="X8" s="25">
        <v>21.97</v>
      </c>
      <c r="Y8" s="25">
        <v>28.02</v>
      </c>
      <c r="Z8" s="25">
        <v>26.89</v>
      </c>
      <c r="AA8" s="25">
        <v>25.32</v>
      </c>
      <c r="AB8" s="25">
        <v>24.18</v>
      </c>
      <c r="AC8" s="25">
        <v>23.25</v>
      </c>
      <c r="AD8" s="26">
        <v>14.28</v>
      </c>
      <c r="AE8" s="26">
        <v>18.21</v>
      </c>
      <c r="AF8" s="26">
        <v>17.48</v>
      </c>
      <c r="AG8" s="26">
        <v>16.46</v>
      </c>
      <c r="AH8" s="26">
        <v>15.72</v>
      </c>
      <c r="AI8" s="26">
        <v>15.11</v>
      </c>
      <c r="AJ8" s="27">
        <v>414.79</v>
      </c>
      <c r="AK8" s="27">
        <v>553.45000000000005</v>
      </c>
      <c r="AL8" s="27">
        <v>526.5</v>
      </c>
      <c r="AM8" s="27">
        <v>500.12</v>
      </c>
      <c r="AN8" s="27">
        <v>474.33</v>
      </c>
      <c r="AO8" s="27">
        <v>457.93</v>
      </c>
      <c r="AP8" s="28">
        <v>1887.6</v>
      </c>
      <c r="AQ8" s="28">
        <v>1975.35</v>
      </c>
      <c r="AR8" s="28">
        <v>1957.8</v>
      </c>
      <c r="AS8" s="28">
        <v>1975.35</v>
      </c>
      <c r="AT8" s="28">
        <v>1961.7</v>
      </c>
      <c r="AU8" s="28">
        <v>1969.5</v>
      </c>
      <c r="AV8" s="29">
        <v>2904</v>
      </c>
      <c r="AW8" s="29">
        <v>3039</v>
      </c>
      <c r="AX8" s="29">
        <v>3012</v>
      </c>
      <c r="AY8" s="29">
        <v>3039</v>
      </c>
      <c r="AZ8" s="29">
        <v>3018</v>
      </c>
      <c r="BA8" s="29">
        <v>3030</v>
      </c>
      <c r="BB8" s="30">
        <v>661800</v>
      </c>
      <c r="BC8" s="30">
        <v>902792</v>
      </c>
      <c r="BD8" s="30">
        <v>873009</v>
      </c>
      <c r="BE8" s="30">
        <v>843228</v>
      </c>
      <c r="BF8" s="30">
        <v>813445</v>
      </c>
      <c r="BG8" s="30">
        <v>798554</v>
      </c>
    </row>
    <row r="9" spans="1:59" ht="15.75" thickBot="1" x14ac:dyDescent="0.3">
      <c r="A9" s="19" t="s">
        <v>231</v>
      </c>
      <c r="B9" s="19" t="s">
        <v>232</v>
      </c>
      <c r="C9" s="20">
        <v>1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1">
        <v>1</v>
      </c>
      <c r="J9" s="22">
        <v>0.42</v>
      </c>
      <c r="K9" s="22">
        <v>0.49</v>
      </c>
      <c r="L9" s="22">
        <v>0.48</v>
      </c>
      <c r="M9" s="22">
        <v>0.47</v>
      </c>
      <c r="N9" s="22">
        <v>0.47</v>
      </c>
      <c r="O9" s="22">
        <v>0.46</v>
      </c>
      <c r="P9" s="23">
        <v>65</v>
      </c>
      <c r="Q9" s="23">
        <v>0</v>
      </c>
      <c r="R9" s="24">
        <v>65</v>
      </c>
      <c r="S9" s="24">
        <v>65</v>
      </c>
      <c r="T9" s="24">
        <v>65</v>
      </c>
      <c r="U9" s="24">
        <v>65</v>
      </c>
      <c r="V9" s="24">
        <v>65</v>
      </c>
      <c r="W9" s="24">
        <v>65</v>
      </c>
      <c r="X9" s="25">
        <v>41.69</v>
      </c>
      <c r="Y9" s="25">
        <v>48.65</v>
      </c>
      <c r="Z9" s="25">
        <v>48.34</v>
      </c>
      <c r="AA9" s="25">
        <v>47.17</v>
      </c>
      <c r="AB9" s="25">
        <v>46.75</v>
      </c>
      <c r="AC9" s="25">
        <v>45.83</v>
      </c>
      <c r="AD9" s="26">
        <v>27.1</v>
      </c>
      <c r="AE9" s="26">
        <v>31.62</v>
      </c>
      <c r="AF9" s="26">
        <v>31.42</v>
      </c>
      <c r="AG9" s="26">
        <v>30.66</v>
      </c>
      <c r="AH9" s="26">
        <v>30.39</v>
      </c>
      <c r="AI9" s="26">
        <v>29.79</v>
      </c>
      <c r="AJ9" s="27">
        <v>786.85</v>
      </c>
      <c r="AK9" s="27">
        <v>961.08</v>
      </c>
      <c r="AL9" s="27">
        <v>946.43</v>
      </c>
      <c r="AM9" s="27">
        <v>931.8</v>
      </c>
      <c r="AN9" s="27">
        <v>917.17</v>
      </c>
      <c r="AO9" s="27">
        <v>902.53</v>
      </c>
      <c r="AP9" s="28">
        <v>1887.6</v>
      </c>
      <c r="AQ9" s="28">
        <v>1975.35</v>
      </c>
      <c r="AR9" s="28">
        <v>1957.8</v>
      </c>
      <c r="AS9" s="28">
        <v>1975.35</v>
      </c>
      <c r="AT9" s="28">
        <v>1961.7</v>
      </c>
      <c r="AU9" s="28">
        <v>1969.5</v>
      </c>
      <c r="AV9" s="29">
        <v>2904</v>
      </c>
      <c r="AW9" s="29">
        <v>3039</v>
      </c>
      <c r="AX9" s="29">
        <v>3012</v>
      </c>
      <c r="AY9" s="29">
        <v>3039</v>
      </c>
      <c r="AZ9" s="29">
        <v>3018</v>
      </c>
      <c r="BA9" s="29">
        <v>3030</v>
      </c>
      <c r="BB9" s="30">
        <v>849789</v>
      </c>
      <c r="BC9" s="30">
        <v>1053756</v>
      </c>
      <c r="BD9" s="30">
        <v>1053756</v>
      </c>
      <c r="BE9" s="30">
        <v>1053756</v>
      </c>
      <c r="BF9" s="30">
        <v>1053756</v>
      </c>
      <c r="BG9" s="30">
        <v>1053756</v>
      </c>
    </row>
    <row r="10" spans="1:59" ht="15.75" thickBot="1" x14ac:dyDescent="0.3">
      <c r="A10" s="19" t="s">
        <v>233</v>
      </c>
      <c r="B10" s="19" t="s">
        <v>234</v>
      </c>
      <c r="C10" s="20">
        <v>1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1">
        <v>1</v>
      </c>
      <c r="J10" s="22">
        <v>0.9</v>
      </c>
      <c r="K10" s="22">
        <v>0.37</v>
      </c>
      <c r="L10" s="22">
        <v>0.43</v>
      </c>
      <c r="M10" s="22">
        <v>0.45</v>
      </c>
      <c r="N10" s="22">
        <v>0.46</v>
      </c>
      <c r="O10" s="22">
        <v>0.48</v>
      </c>
      <c r="P10" s="23">
        <v>60</v>
      </c>
      <c r="Q10" s="23">
        <v>18</v>
      </c>
      <c r="R10" s="24">
        <v>60</v>
      </c>
      <c r="S10" s="24">
        <v>60</v>
      </c>
      <c r="T10" s="24">
        <v>60</v>
      </c>
      <c r="U10" s="24">
        <v>60</v>
      </c>
      <c r="V10" s="24">
        <v>60</v>
      </c>
      <c r="W10" s="24">
        <v>60</v>
      </c>
      <c r="X10" s="25">
        <v>89.91</v>
      </c>
      <c r="Y10" s="25">
        <v>36.79</v>
      </c>
      <c r="Z10" s="25">
        <v>42.98</v>
      </c>
      <c r="AA10" s="25">
        <v>44.55</v>
      </c>
      <c r="AB10" s="25">
        <v>46.39</v>
      </c>
      <c r="AC10" s="25">
        <v>47.88</v>
      </c>
      <c r="AD10" s="26">
        <v>53.95</v>
      </c>
      <c r="AE10" s="26">
        <v>22.08</v>
      </c>
      <c r="AF10" s="26">
        <v>25.79</v>
      </c>
      <c r="AG10" s="26">
        <v>26.73</v>
      </c>
      <c r="AH10" s="26">
        <v>27.84</v>
      </c>
      <c r="AI10" s="26">
        <v>28.73</v>
      </c>
      <c r="AJ10" s="27">
        <v>2336.4499999999998</v>
      </c>
      <c r="AK10" s="27">
        <v>1058.07</v>
      </c>
      <c r="AL10" s="27">
        <v>1237.8499999999999</v>
      </c>
      <c r="AM10" s="27">
        <v>1285.93</v>
      </c>
      <c r="AN10" s="27">
        <v>1333.99</v>
      </c>
      <c r="AO10" s="27">
        <v>1389.19</v>
      </c>
      <c r="AP10" s="28">
        <v>2598.66</v>
      </c>
      <c r="AQ10" s="28">
        <v>2875.8</v>
      </c>
      <c r="AR10" s="28">
        <v>2880.36</v>
      </c>
      <c r="AS10" s="28">
        <v>2886.18</v>
      </c>
      <c r="AT10" s="28">
        <v>2875.38</v>
      </c>
      <c r="AU10" s="28">
        <v>2901.12</v>
      </c>
      <c r="AV10" s="29">
        <v>4331.1000000000004</v>
      </c>
      <c r="AW10" s="29">
        <v>4793</v>
      </c>
      <c r="AX10" s="29">
        <v>4800.6000000000004</v>
      </c>
      <c r="AY10" s="29">
        <v>4810.3</v>
      </c>
      <c r="AZ10" s="29">
        <v>4792.3</v>
      </c>
      <c r="BA10" s="29">
        <v>4835.2</v>
      </c>
      <c r="BB10" s="30">
        <v>1835649</v>
      </c>
      <c r="BC10" s="30">
        <v>819616</v>
      </c>
      <c r="BD10" s="30">
        <v>965865</v>
      </c>
      <c r="BE10" s="30">
        <v>1016791</v>
      </c>
      <c r="BF10" s="30">
        <v>1069278</v>
      </c>
      <c r="BG10" s="30">
        <v>1128811</v>
      </c>
    </row>
    <row r="11" spans="1:59" ht="15.75" thickBot="1" x14ac:dyDescent="0.3">
      <c r="A11" s="19" t="s">
        <v>235</v>
      </c>
      <c r="B11" s="19" t="s">
        <v>99</v>
      </c>
      <c r="C11" s="20">
        <v>1</v>
      </c>
      <c r="D11" s="20">
        <v>1</v>
      </c>
      <c r="E11" s="20">
        <v>1</v>
      </c>
      <c r="F11" s="20">
        <v>1</v>
      </c>
      <c r="G11" s="20">
        <v>1</v>
      </c>
      <c r="H11" s="20">
        <v>1</v>
      </c>
      <c r="I11" s="21">
        <v>1</v>
      </c>
      <c r="J11" s="22">
        <v>0.59</v>
      </c>
      <c r="K11" s="22">
        <v>0.62</v>
      </c>
      <c r="L11" s="22">
        <v>0.64</v>
      </c>
      <c r="M11" s="22">
        <v>0.68</v>
      </c>
      <c r="N11" s="22">
        <v>0.73</v>
      </c>
      <c r="O11" s="22">
        <v>0.72</v>
      </c>
      <c r="P11" s="23">
        <v>60</v>
      </c>
      <c r="Q11" s="23">
        <v>22</v>
      </c>
      <c r="R11" s="24">
        <v>60</v>
      </c>
      <c r="S11" s="24">
        <v>60</v>
      </c>
      <c r="T11" s="24">
        <v>60</v>
      </c>
      <c r="U11" s="24">
        <v>60</v>
      </c>
      <c r="V11" s="24">
        <v>60</v>
      </c>
      <c r="W11" s="24">
        <v>60</v>
      </c>
      <c r="X11" s="25">
        <v>58.64</v>
      </c>
      <c r="Y11" s="25">
        <v>61.71</v>
      </c>
      <c r="Z11" s="25">
        <v>64.39</v>
      </c>
      <c r="AA11" s="25">
        <v>68.39</v>
      </c>
      <c r="AB11" s="25">
        <v>72.650000000000006</v>
      </c>
      <c r="AC11" s="25">
        <v>72.44</v>
      </c>
      <c r="AD11" s="26">
        <v>35.18</v>
      </c>
      <c r="AE11" s="26">
        <v>37.03</v>
      </c>
      <c r="AF11" s="26">
        <v>38.630000000000003</v>
      </c>
      <c r="AG11" s="26">
        <v>41.03</v>
      </c>
      <c r="AH11" s="26">
        <v>43.59</v>
      </c>
      <c r="AI11" s="26">
        <v>43.46</v>
      </c>
      <c r="AJ11" s="27">
        <v>2131.02</v>
      </c>
      <c r="AK11" s="27">
        <v>2510.46</v>
      </c>
      <c r="AL11" s="27">
        <v>2620.42</v>
      </c>
      <c r="AM11" s="27">
        <v>2791.94</v>
      </c>
      <c r="AN11" s="27">
        <v>2952.59</v>
      </c>
      <c r="AO11" s="27">
        <v>2969.01</v>
      </c>
      <c r="AP11" s="28">
        <v>3634.2</v>
      </c>
      <c r="AQ11" s="28">
        <v>4068</v>
      </c>
      <c r="AR11" s="28">
        <v>4069.8</v>
      </c>
      <c r="AS11" s="28">
        <v>4082.4</v>
      </c>
      <c r="AT11" s="28">
        <v>4064.4</v>
      </c>
      <c r="AU11" s="28">
        <v>4098.6000000000004</v>
      </c>
      <c r="AV11" s="29">
        <v>6057</v>
      </c>
      <c r="AW11" s="29">
        <v>6780</v>
      </c>
      <c r="AX11" s="29">
        <v>6783</v>
      </c>
      <c r="AY11" s="29">
        <v>6804</v>
      </c>
      <c r="AZ11" s="29">
        <v>6774</v>
      </c>
      <c r="BA11" s="29">
        <v>6831</v>
      </c>
      <c r="BB11" s="30">
        <v>1472888</v>
      </c>
      <c r="BC11" s="30">
        <v>1748939</v>
      </c>
      <c r="BD11" s="30">
        <v>1849763</v>
      </c>
      <c r="BE11" s="30">
        <v>1996294</v>
      </c>
      <c r="BF11" s="30">
        <v>2139894</v>
      </c>
      <c r="BG11" s="30">
        <v>2185231</v>
      </c>
    </row>
    <row r="12" spans="1:59" ht="15.75" thickBot="1" x14ac:dyDescent="0.3">
      <c r="A12" s="19" t="s">
        <v>236</v>
      </c>
      <c r="B12" s="19" t="s">
        <v>237</v>
      </c>
      <c r="C12" s="20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1">
        <v>1</v>
      </c>
      <c r="J12" s="22">
        <v>0.38</v>
      </c>
      <c r="K12" s="22">
        <v>0.44</v>
      </c>
      <c r="L12" s="22">
        <v>0.44</v>
      </c>
      <c r="M12" s="22">
        <v>0.43</v>
      </c>
      <c r="N12" s="22">
        <v>0.42</v>
      </c>
      <c r="O12" s="22">
        <v>0.41</v>
      </c>
      <c r="P12" s="23">
        <v>65</v>
      </c>
      <c r="Q12" s="23">
        <v>20</v>
      </c>
      <c r="R12" s="24">
        <v>65</v>
      </c>
      <c r="S12" s="24">
        <v>65</v>
      </c>
      <c r="T12" s="24">
        <v>65</v>
      </c>
      <c r="U12" s="24">
        <v>65</v>
      </c>
      <c r="V12" s="24">
        <v>65</v>
      </c>
      <c r="W12" s="24">
        <v>65</v>
      </c>
      <c r="X12" s="25">
        <v>38.19</v>
      </c>
      <c r="Y12" s="25">
        <v>43.9</v>
      </c>
      <c r="Z12" s="25">
        <v>43.62</v>
      </c>
      <c r="AA12" s="25">
        <v>42.57</v>
      </c>
      <c r="AB12" s="25">
        <v>42.19</v>
      </c>
      <c r="AC12" s="25">
        <v>41.35</v>
      </c>
      <c r="AD12" s="26">
        <v>24.82</v>
      </c>
      <c r="AE12" s="26">
        <v>28.54</v>
      </c>
      <c r="AF12" s="26">
        <v>28.36</v>
      </c>
      <c r="AG12" s="26">
        <v>27.67</v>
      </c>
      <c r="AH12" s="26">
        <v>27.42</v>
      </c>
      <c r="AI12" s="26">
        <v>26.88</v>
      </c>
      <c r="AJ12" s="27">
        <v>720.79</v>
      </c>
      <c r="AK12" s="27">
        <v>867.27</v>
      </c>
      <c r="AL12" s="27">
        <v>854.06</v>
      </c>
      <c r="AM12" s="27">
        <v>840.85</v>
      </c>
      <c r="AN12" s="27">
        <v>827.64</v>
      </c>
      <c r="AO12" s="27">
        <v>814.43</v>
      </c>
      <c r="AP12" s="28">
        <v>1887.6</v>
      </c>
      <c r="AQ12" s="28">
        <v>1975.35</v>
      </c>
      <c r="AR12" s="28">
        <v>1957.8</v>
      </c>
      <c r="AS12" s="28">
        <v>1975.35</v>
      </c>
      <c r="AT12" s="28">
        <v>1961.7</v>
      </c>
      <c r="AU12" s="28">
        <v>1969.5</v>
      </c>
      <c r="AV12" s="29">
        <v>2904</v>
      </c>
      <c r="AW12" s="29">
        <v>3039</v>
      </c>
      <c r="AX12" s="29">
        <v>3012</v>
      </c>
      <c r="AY12" s="29">
        <v>3039</v>
      </c>
      <c r="AZ12" s="29">
        <v>3018</v>
      </c>
      <c r="BA12" s="29">
        <v>3030</v>
      </c>
      <c r="BB12" s="30">
        <v>849789</v>
      </c>
      <c r="BC12" s="30">
        <v>1053756</v>
      </c>
      <c r="BD12" s="30">
        <v>1053756</v>
      </c>
      <c r="BE12" s="30">
        <v>1053756</v>
      </c>
      <c r="BF12" s="30">
        <v>1053756</v>
      </c>
      <c r="BG12" s="30">
        <v>1053756</v>
      </c>
    </row>
    <row r="13" spans="1:59" ht="15.75" thickBot="1" x14ac:dyDescent="0.3">
      <c r="A13" s="19" t="s">
        <v>238</v>
      </c>
      <c r="B13" s="19" t="s">
        <v>239</v>
      </c>
      <c r="C13" s="20">
        <v>1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1">
        <v>1</v>
      </c>
      <c r="J13" s="22">
        <v>0.43</v>
      </c>
      <c r="K13" s="22">
        <v>0.34</v>
      </c>
      <c r="L13" s="22">
        <v>0.33</v>
      </c>
      <c r="M13" s="22">
        <v>0.33</v>
      </c>
      <c r="N13" s="22">
        <v>0.33</v>
      </c>
      <c r="O13" s="22">
        <v>0.32</v>
      </c>
      <c r="P13" s="23">
        <v>65</v>
      </c>
      <c r="Q13" s="23">
        <v>16</v>
      </c>
      <c r="R13" s="24">
        <v>65</v>
      </c>
      <c r="S13" s="24">
        <v>65</v>
      </c>
      <c r="T13" s="24">
        <v>65</v>
      </c>
      <c r="U13" s="24">
        <v>65</v>
      </c>
      <c r="V13" s="24">
        <v>65</v>
      </c>
      <c r="W13" s="24">
        <v>65</v>
      </c>
      <c r="X13" s="25">
        <v>42.87</v>
      </c>
      <c r="Y13" s="25">
        <v>34.07</v>
      </c>
      <c r="Z13" s="25">
        <v>33.5</v>
      </c>
      <c r="AA13" s="25">
        <v>32.909999999999997</v>
      </c>
      <c r="AB13" s="25">
        <v>32.520000000000003</v>
      </c>
      <c r="AC13" s="25">
        <v>31.72</v>
      </c>
      <c r="AD13" s="26">
        <v>27.86</v>
      </c>
      <c r="AE13" s="26">
        <v>22.15</v>
      </c>
      <c r="AF13" s="26">
        <v>21.77</v>
      </c>
      <c r="AG13" s="26">
        <v>21.39</v>
      </c>
      <c r="AH13" s="26">
        <v>21.14</v>
      </c>
      <c r="AI13" s="26">
        <v>20.62</v>
      </c>
      <c r="AJ13" s="27">
        <v>1206.83</v>
      </c>
      <c r="AK13" s="27">
        <v>1061.45</v>
      </c>
      <c r="AL13" s="27">
        <v>1045.28</v>
      </c>
      <c r="AM13" s="27">
        <v>1029.1199999999999</v>
      </c>
      <c r="AN13" s="27">
        <v>1012.94</v>
      </c>
      <c r="AO13" s="27">
        <v>996.79</v>
      </c>
      <c r="AP13" s="28">
        <v>2815.22</v>
      </c>
      <c r="AQ13" s="28">
        <v>3115.45</v>
      </c>
      <c r="AR13" s="28">
        <v>3120.39</v>
      </c>
      <c r="AS13" s="28">
        <v>3126.7</v>
      </c>
      <c r="AT13" s="28">
        <v>3115</v>
      </c>
      <c r="AU13" s="28">
        <v>3142.88</v>
      </c>
      <c r="AV13" s="29">
        <v>4331.1000000000004</v>
      </c>
      <c r="AW13" s="29">
        <v>4793</v>
      </c>
      <c r="AX13" s="29">
        <v>4800.6000000000004</v>
      </c>
      <c r="AY13" s="29">
        <v>4810.3</v>
      </c>
      <c r="AZ13" s="29">
        <v>4792.3</v>
      </c>
      <c r="BA13" s="29">
        <v>4835.2</v>
      </c>
      <c r="BB13" s="30">
        <v>4000101</v>
      </c>
      <c r="BC13" s="30">
        <v>3636605</v>
      </c>
      <c r="BD13" s="30">
        <v>3636605</v>
      </c>
      <c r="BE13" s="30">
        <v>3636605</v>
      </c>
      <c r="BF13" s="30">
        <v>3636605</v>
      </c>
      <c r="BG13" s="30">
        <v>3636605</v>
      </c>
    </row>
  </sheetData>
  <mergeCells count="11">
    <mergeCell ref="AD1:AI1"/>
    <mergeCell ref="AJ1:AO1"/>
    <mergeCell ref="AP1:AU1"/>
    <mergeCell ref="AV1:BA1"/>
    <mergeCell ref="BB1:BG1"/>
    <mergeCell ref="X1:AC1"/>
    <mergeCell ref="A1:B1"/>
    <mergeCell ref="C1:H1"/>
    <mergeCell ref="J1:O1"/>
    <mergeCell ref="P1:Q1"/>
    <mergeCell ref="R1:W1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D9A6-3B74-4615-8343-77B82E2CD8EE}">
  <dimension ref="A1:BG22"/>
  <sheetViews>
    <sheetView workbookViewId="0">
      <selection activeCell="J33" sqref="J33"/>
    </sheetView>
  </sheetViews>
  <sheetFormatPr defaultRowHeight="15" x14ac:dyDescent="0.25"/>
  <cols>
    <col min="1" max="1" width="13.42578125" style="57" bestFit="1" customWidth="1"/>
    <col min="2" max="2" width="42.42578125" style="57" bestFit="1" customWidth="1"/>
    <col min="3" max="59" width="8.7109375" style="57" customWidth="1"/>
  </cols>
  <sheetData>
    <row r="1" spans="1:59" ht="15.75" thickBot="1" x14ac:dyDescent="0.3">
      <c r="A1" s="204"/>
      <c r="B1" s="206"/>
      <c r="C1" s="204" t="s">
        <v>130</v>
      </c>
      <c r="D1" s="205"/>
      <c r="E1" s="205"/>
      <c r="F1" s="205"/>
      <c r="G1" s="205"/>
      <c r="H1" s="206"/>
      <c r="I1" s="62" t="s">
        <v>175</v>
      </c>
      <c r="J1" s="204" t="s">
        <v>176</v>
      </c>
      <c r="K1" s="205"/>
      <c r="L1" s="205"/>
      <c r="M1" s="205"/>
      <c r="N1" s="205"/>
      <c r="O1" s="206"/>
      <c r="P1" s="204" t="s">
        <v>133</v>
      </c>
      <c r="Q1" s="206"/>
      <c r="R1" s="204" t="s">
        <v>134</v>
      </c>
      <c r="S1" s="205"/>
      <c r="T1" s="205"/>
      <c r="U1" s="205"/>
      <c r="V1" s="205"/>
      <c r="W1" s="206"/>
      <c r="X1" s="204" t="s">
        <v>135</v>
      </c>
      <c r="Y1" s="205"/>
      <c r="Z1" s="205"/>
      <c r="AA1" s="205"/>
      <c r="AB1" s="205"/>
      <c r="AC1" s="206"/>
      <c r="AD1" s="204" t="s">
        <v>136</v>
      </c>
      <c r="AE1" s="205"/>
      <c r="AF1" s="205"/>
      <c r="AG1" s="205"/>
      <c r="AH1" s="205"/>
      <c r="AI1" s="206"/>
      <c r="AJ1" s="204" t="s">
        <v>177</v>
      </c>
      <c r="AK1" s="205"/>
      <c r="AL1" s="205"/>
      <c r="AM1" s="205"/>
      <c r="AN1" s="205"/>
      <c r="AO1" s="206"/>
      <c r="AP1" s="204" t="s">
        <v>138</v>
      </c>
      <c r="AQ1" s="205"/>
      <c r="AR1" s="205"/>
      <c r="AS1" s="205"/>
      <c r="AT1" s="205"/>
      <c r="AU1" s="206"/>
      <c r="AV1" s="204" t="s">
        <v>139</v>
      </c>
      <c r="AW1" s="205"/>
      <c r="AX1" s="205"/>
      <c r="AY1" s="205"/>
      <c r="AZ1" s="205"/>
      <c r="BA1" s="206"/>
      <c r="BB1" s="204" t="s">
        <v>140</v>
      </c>
      <c r="BC1" s="205"/>
      <c r="BD1" s="205"/>
      <c r="BE1" s="205"/>
      <c r="BF1" s="205"/>
      <c r="BG1" s="206"/>
    </row>
    <row r="2" spans="1:59" ht="15.75" thickBot="1" x14ac:dyDescent="0.3">
      <c r="A2" s="62" t="s">
        <v>141</v>
      </c>
      <c r="B2" s="62" t="s">
        <v>142</v>
      </c>
      <c r="C2" s="62">
        <v>2025</v>
      </c>
      <c r="D2" s="62">
        <v>2026</v>
      </c>
      <c r="E2" s="62">
        <v>2027</v>
      </c>
      <c r="F2" s="62">
        <v>2028</v>
      </c>
      <c r="G2" s="62">
        <v>2029</v>
      </c>
      <c r="H2" s="62">
        <v>2030</v>
      </c>
      <c r="I2" s="62" t="s">
        <v>143</v>
      </c>
      <c r="J2" s="62">
        <v>2025</v>
      </c>
      <c r="K2" s="62">
        <v>2026</v>
      </c>
      <c r="L2" s="62">
        <v>2027</v>
      </c>
      <c r="M2" s="62">
        <v>2028</v>
      </c>
      <c r="N2" s="62">
        <v>2029</v>
      </c>
      <c r="O2" s="62">
        <v>2030</v>
      </c>
      <c r="P2" s="62" t="s">
        <v>144</v>
      </c>
      <c r="Q2" s="62" t="s">
        <v>145</v>
      </c>
      <c r="R2" s="62">
        <v>2025</v>
      </c>
      <c r="S2" s="62">
        <v>2026</v>
      </c>
      <c r="T2" s="62">
        <v>2027</v>
      </c>
      <c r="U2" s="62">
        <v>2028</v>
      </c>
      <c r="V2" s="62">
        <v>2029</v>
      </c>
      <c r="W2" s="62">
        <v>2030</v>
      </c>
      <c r="X2" s="62">
        <v>2025</v>
      </c>
      <c r="Y2" s="62">
        <v>2026</v>
      </c>
      <c r="Z2" s="62">
        <v>2027</v>
      </c>
      <c r="AA2" s="62">
        <v>2028</v>
      </c>
      <c r="AB2" s="62">
        <v>2029</v>
      </c>
      <c r="AC2" s="62">
        <v>2030</v>
      </c>
      <c r="AD2" s="62">
        <v>2025</v>
      </c>
      <c r="AE2" s="62">
        <v>2026</v>
      </c>
      <c r="AF2" s="62">
        <v>2027</v>
      </c>
      <c r="AG2" s="62">
        <v>2028</v>
      </c>
      <c r="AH2" s="62">
        <v>2029</v>
      </c>
      <c r="AI2" s="62">
        <v>2030</v>
      </c>
      <c r="AJ2" s="62">
        <v>2025</v>
      </c>
      <c r="AK2" s="62">
        <v>2026</v>
      </c>
      <c r="AL2" s="62">
        <v>2027</v>
      </c>
      <c r="AM2" s="62">
        <v>2028</v>
      </c>
      <c r="AN2" s="62">
        <v>2029</v>
      </c>
      <c r="AO2" s="62">
        <v>2030</v>
      </c>
      <c r="AP2" s="62">
        <v>2025</v>
      </c>
      <c r="AQ2" s="62">
        <v>2026</v>
      </c>
      <c r="AR2" s="62">
        <v>2027</v>
      </c>
      <c r="AS2" s="62">
        <v>2028</v>
      </c>
      <c r="AT2" s="62">
        <v>2029</v>
      </c>
      <c r="AU2" s="62">
        <v>2030</v>
      </c>
      <c r="AV2" s="62">
        <v>2025</v>
      </c>
      <c r="AW2" s="62">
        <v>2026</v>
      </c>
      <c r="AX2" s="62">
        <v>2027</v>
      </c>
      <c r="AY2" s="62">
        <v>2028</v>
      </c>
      <c r="AZ2" s="62">
        <v>2029</v>
      </c>
      <c r="BA2" s="62">
        <v>2030</v>
      </c>
      <c r="BB2" s="62">
        <v>2025</v>
      </c>
      <c r="BC2" s="62">
        <v>2026</v>
      </c>
      <c r="BD2" s="62">
        <v>2027</v>
      </c>
      <c r="BE2" s="62">
        <v>2028</v>
      </c>
      <c r="BF2" s="62">
        <v>2029</v>
      </c>
      <c r="BG2" s="62">
        <v>2030</v>
      </c>
    </row>
    <row r="3" spans="1:59" ht="15.75" thickBot="1" x14ac:dyDescent="0.3">
      <c r="A3" s="62" t="s">
        <v>146</v>
      </c>
      <c r="B3" s="62"/>
      <c r="C3" s="63">
        <v>0.84</v>
      </c>
      <c r="D3" s="63">
        <v>0.84</v>
      </c>
      <c r="E3" s="63">
        <v>0.84</v>
      </c>
      <c r="F3" s="63">
        <v>0.84</v>
      </c>
      <c r="G3" s="63">
        <v>0.84</v>
      </c>
      <c r="H3" s="63">
        <v>0.84</v>
      </c>
      <c r="I3" s="64">
        <v>16</v>
      </c>
      <c r="J3" s="65">
        <v>5.53</v>
      </c>
      <c r="K3" s="65">
        <v>5.86</v>
      </c>
      <c r="L3" s="65">
        <v>6.33</v>
      </c>
      <c r="M3" s="65">
        <v>6.77</v>
      </c>
      <c r="N3" s="65">
        <v>7.29</v>
      </c>
      <c r="O3" s="65">
        <v>7.35</v>
      </c>
      <c r="P3" s="66">
        <v>75.53</v>
      </c>
      <c r="Q3" s="66">
        <v>0</v>
      </c>
      <c r="R3" s="67">
        <v>75.53</v>
      </c>
      <c r="S3" s="67">
        <v>75.53</v>
      </c>
      <c r="T3" s="67">
        <v>75.53</v>
      </c>
      <c r="U3" s="67">
        <v>75.53</v>
      </c>
      <c r="V3" s="67">
        <v>75.53</v>
      </c>
      <c r="W3" s="67">
        <v>75.53</v>
      </c>
      <c r="X3" s="68" t="s">
        <v>147</v>
      </c>
      <c r="Y3" s="68" t="s">
        <v>147</v>
      </c>
      <c r="Z3" s="68" t="s">
        <v>147</v>
      </c>
      <c r="AA3" s="68" t="s">
        <v>147</v>
      </c>
      <c r="AB3" s="68" t="s">
        <v>147</v>
      </c>
      <c r="AC3" s="68" t="s">
        <v>147</v>
      </c>
      <c r="AD3" s="69" t="s">
        <v>147</v>
      </c>
      <c r="AE3" s="69" t="s">
        <v>147</v>
      </c>
      <c r="AF3" s="69" t="s">
        <v>147</v>
      </c>
      <c r="AG3" s="69" t="s">
        <v>147</v>
      </c>
      <c r="AH3" s="69" t="s">
        <v>147</v>
      </c>
      <c r="AI3" s="69" t="s">
        <v>147</v>
      </c>
      <c r="AJ3" s="70">
        <v>23993.27</v>
      </c>
      <c r="AK3" s="70">
        <v>27555.94</v>
      </c>
      <c r="AL3" s="70">
        <v>30413.68</v>
      </c>
      <c r="AM3" s="70">
        <v>33384.74</v>
      </c>
      <c r="AN3" s="70">
        <v>36194.480000000003</v>
      </c>
      <c r="AO3" s="70">
        <v>37033.86</v>
      </c>
      <c r="AP3" s="71">
        <v>57891.839999999997</v>
      </c>
      <c r="AQ3" s="71">
        <v>63181.95</v>
      </c>
      <c r="AR3" s="71">
        <v>63062.34</v>
      </c>
      <c r="AS3" s="71">
        <v>63340.17</v>
      </c>
      <c r="AT3" s="71">
        <v>63030.720000000001</v>
      </c>
      <c r="AU3" s="71">
        <v>63491.28</v>
      </c>
      <c r="AV3" s="72">
        <v>64485.599999999999</v>
      </c>
      <c r="AW3" s="72">
        <v>70371</v>
      </c>
      <c r="AX3" s="72">
        <v>70236.600000000006</v>
      </c>
      <c r="AY3" s="72">
        <v>70546.8</v>
      </c>
      <c r="AZ3" s="72">
        <v>70201.8</v>
      </c>
      <c r="BA3" s="72">
        <v>70714.2</v>
      </c>
      <c r="BB3" s="73">
        <v>100699001.61</v>
      </c>
      <c r="BC3" s="73">
        <v>78721004</v>
      </c>
      <c r="BD3" s="73">
        <v>80860422</v>
      </c>
      <c r="BE3" s="73">
        <v>83238542</v>
      </c>
      <c r="BF3" s="73">
        <v>85613632</v>
      </c>
      <c r="BG3" s="73">
        <v>88095571</v>
      </c>
    </row>
    <row r="4" spans="1:59" ht="15.75" thickBot="1" x14ac:dyDescent="0.3">
      <c r="A4" s="74" t="s">
        <v>240</v>
      </c>
      <c r="B4" s="74" t="s">
        <v>87</v>
      </c>
      <c r="C4" s="75">
        <v>1</v>
      </c>
      <c r="D4" s="75">
        <v>1</v>
      </c>
      <c r="E4" s="75">
        <v>1</v>
      </c>
      <c r="F4" s="75">
        <v>1</v>
      </c>
      <c r="G4" s="75">
        <v>1</v>
      </c>
      <c r="H4" s="75">
        <v>1</v>
      </c>
      <c r="I4" s="76">
        <v>1</v>
      </c>
      <c r="J4" s="77">
        <v>0</v>
      </c>
      <c r="K4" s="77">
        <v>0</v>
      </c>
      <c r="L4" s="77">
        <v>0</v>
      </c>
      <c r="M4" s="77">
        <v>0</v>
      </c>
      <c r="N4" s="77">
        <v>0</v>
      </c>
      <c r="O4" s="77">
        <v>0</v>
      </c>
      <c r="P4" s="78">
        <v>90</v>
      </c>
      <c r="Q4" s="78">
        <v>0</v>
      </c>
      <c r="R4" s="79">
        <v>90</v>
      </c>
      <c r="S4" s="79">
        <v>90</v>
      </c>
      <c r="T4" s="79">
        <v>90</v>
      </c>
      <c r="U4" s="79">
        <v>90</v>
      </c>
      <c r="V4" s="79">
        <v>90</v>
      </c>
      <c r="W4" s="79">
        <v>90</v>
      </c>
      <c r="X4" s="80">
        <v>0</v>
      </c>
      <c r="Y4" s="80">
        <v>0</v>
      </c>
      <c r="Z4" s="80">
        <v>0</v>
      </c>
      <c r="AA4" s="80">
        <v>0</v>
      </c>
      <c r="AB4" s="80">
        <v>0</v>
      </c>
      <c r="AC4" s="80">
        <v>0</v>
      </c>
      <c r="AD4" s="81">
        <v>0</v>
      </c>
      <c r="AE4" s="81">
        <v>0</v>
      </c>
      <c r="AF4" s="81">
        <v>0</v>
      </c>
      <c r="AG4" s="81">
        <v>0</v>
      </c>
      <c r="AH4" s="81">
        <v>0</v>
      </c>
      <c r="AI4" s="81">
        <v>0</v>
      </c>
      <c r="AJ4" s="82">
        <v>0</v>
      </c>
      <c r="AK4" s="82">
        <v>0</v>
      </c>
      <c r="AL4" s="82">
        <v>0</v>
      </c>
      <c r="AM4" s="82">
        <v>0</v>
      </c>
      <c r="AN4" s="82">
        <v>0</v>
      </c>
      <c r="AO4" s="82">
        <v>0</v>
      </c>
      <c r="AP4" s="83">
        <v>3897.99</v>
      </c>
      <c r="AQ4" s="83">
        <v>4313.7</v>
      </c>
      <c r="AR4" s="83">
        <v>4320.54</v>
      </c>
      <c r="AS4" s="83">
        <v>4329.2700000000004</v>
      </c>
      <c r="AT4" s="83">
        <v>4313.07</v>
      </c>
      <c r="AU4" s="83">
        <v>4351.68</v>
      </c>
      <c r="AV4" s="84">
        <v>4331.1000000000004</v>
      </c>
      <c r="AW4" s="84">
        <v>4793</v>
      </c>
      <c r="AX4" s="84">
        <v>4800.6000000000004</v>
      </c>
      <c r="AY4" s="84">
        <v>4810.3</v>
      </c>
      <c r="AZ4" s="84">
        <v>4792.3</v>
      </c>
      <c r="BA4" s="84">
        <v>4835.2</v>
      </c>
      <c r="BB4" s="85">
        <v>45317269.520000003</v>
      </c>
      <c r="BC4" s="85">
        <v>35372588</v>
      </c>
      <c r="BD4" s="85">
        <v>36804732</v>
      </c>
      <c r="BE4" s="85">
        <v>38259980</v>
      </c>
      <c r="BF4" s="85">
        <v>39714064</v>
      </c>
      <c r="BG4" s="85">
        <v>41682167</v>
      </c>
    </row>
    <row r="5" spans="1:59" ht="15.75" thickBot="1" x14ac:dyDescent="0.3">
      <c r="A5" s="74" t="s">
        <v>241</v>
      </c>
      <c r="B5" s="74" t="s">
        <v>265</v>
      </c>
      <c r="C5" s="75">
        <v>1</v>
      </c>
      <c r="D5" s="75">
        <v>1</v>
      </c>
      <c r="E5" s="75">
        <v>1</v>
      </c>
      <c r="F5" s="75">
        <v>1</v>
      </c>
      <c r="G5" s="75">
        <v>1</v>
      </c>
      <c r="H5" s="75">
        <v>1</v>
      </c>
      <c r="I5" s="76">
        <v>1</v>
      </c>
      <c r="J5" s="77">
        <v>0</v>
      </c>
      <c r="K5" s="77">
        <v>0</v>
      </c>
      <c r="L5" s="77">
        <v>0</v>
      </c>
      <c r="M5" s="77">
        <v>0</v>
      </c>
      <c r="N5" s="77">
        <v>0</v>
      </c>
      <c r="O5" s="77">
        <v>0</v>
      </c>
      <c r="P5" s="78">
        <v>90</v>
      </c>
      <c r="Q5" s="78">
        <v>0</v>
      </c>
      <c r="R5" s="79">
        <v>90</v>
      </c>
      <c r="S5" s="79">
        <v>90</v>
      </c>
      <c r="T5" s="79">
        <v>90</v>
      </c>
      <c r="U5" s="79">
        <v>90</v>
      </c>
      <c r="V5" s="79">
        <v>90</v>
      </c>
      <c r="W5" s="79">
        <v>90</v>
      </c>
      <c r="X5" s="80">
        <v>0</v>
      </c>
      <c r="Y5" s="80">
        <v>0</v>
      </c>
      <c r="Z5" s="80">
        <v>0</v>
      </c>
      <c r="AA5" s="80">
        <v>0</v>
      </c>
      <c r="AB5" s="80">
        <v>0</v>
      </c>
      <c r="AC5" s="80">
        <v>0</v>
      </c>
      <c r="AD5" s="81">
        <v>0</v>
      </c>
      <c r="AE5" s="81">
        <v>0</v>
      </c>
      <c r="AF5" s="81">
        <v>0</v>
      </c>
      <c r="AG5" s="81">
        <v>0</v>
      </c>
      <c r="AH5" s="81">
        <v>0</v>
      </c>
      <c r="AI5" s="81">
        <v>0</v>
      </c>
      <c r="AJ5" s="82">
        <v>0</v>
      </c>
      <c r="AK5" s="82">
        <v>0</v>
      </c>
      <c r="AL5" s="82">
        <v>0</v>
      </c>
      <c r="AM5" s="82">
        <v>0</v>
      </c>
      <c r="AN5" s="82">
        <v>0</v>
      </c>
      <c r="AO5" s="82">
        <v>0</v>
      </c>
      <c r="AP5" s="83">
        <v>2613.6</v>
      </c>
      <c r="AQ5" s="83">
        <v>2735.1</v>
      </c>
      <c r="AR5" s="83">
        <v>2710.8</v>
      </c>
      <c r="AS5" s="83">
        <v>2735.1</v>
      </c>
      <c r="AT5" s="83">
        <v>2716.2</v>
      </c>
      <c r="AU5" s="83">
        <v>2727</v>
      </c>
      <c r="AV5" s="84">
        <v>2904</v>
      </c>
      <c r="AW5" s="84">
        <v>3039</v>
      </c>
      <c r="AX5" s="84">
        <v>3012</v>
      </c>
      <c r="AY5" s="84">
        <v>3039</v>
      </c>
      <c r="AZ5" s="84">
        <v>3018</v>
      </c>
      <c r="BA5" s="84">
        <v>3030</v>
      </c>
      <c r="BB5" s="85">
        <v>0</v>
      </c>
      <c r="BC5" s="85">
        <v>0</v>
      </c>
      <c r="BD5" s="85">
        <v>0</v>
      </c>
      <c r="BE5" s="85">
        <v>0</v>
      </c>
      <c r="BF5" s="85">
        <v>0</v>
      </c>
      <c r="BG5" s="85">
        <v>0</v>
      </c>
    </row>
    <row r="6" spans="1:59" ht="15.75" thickBot="1" x14ac:dyDescent="0.3">
      <c r="A6" s="74" t="s">
        <v>242</v>
      </c>
      <c r="B6" s="74" t="s">
        <v>266</v>
      </c>
      <c r="C6" s="75">
        <v>1</v>
      </c>
      <c r="D6" s="75">
        <v>1</v>
      </c>
      <c r="E6" s="75">
        <v>1</v>
      </c>
      <c r="F6" s="75">
        <v>1</v>
      </c>
      <c r="G6" s="75">
        <v>1</v>
      </c>
      <c r="H6" s="75">
        <v>1</v>
      </c>
      <c r="I6" s="76">
        <v>1</v>
      </c>
      <c r="J6" s="77">
        <v>0.01</v>
      </c>
      <c r="K6" s="77">
        <v>0.01</v>
      </c>
      <c r="L6" s="77">
        <v>0.01</v>
      </c>
      <c r="M6" s="77">
        <v>0.01</v>
      </c>
      <c r="N6" s="77">
        <v>0.01</v>
      </c>
      <c r="O6" s="77">
        <v>0.01</v>
      </c>
      <c r="P6" s="78">
        <v>90</v>
      </c>
      <c r="Q6" s="78">
        <v>0</v>
      </c>
      <c r="R6" s="79">
        <v>90</v>
      </c>
      <c r="S6" s="79">
        <v>90</v>
      </c>
      <c r="T6" s="79">
        <v>90</v>
      </c>
      <c r="U6" s="79">
        <v>90</v>
      </c>
      <c r="V6" s="79">
        <v>90</v>
      </c>
      <c r="W6" s="79">
        <v>90</v>
      </c>
      <c r="X6" s="80">
        <v>0.72</v>
      </c>
      <c r="Y6" s="80">
        <v>1.39</v>
      </c>
      <c r="Z6" s="80">
        <v>1.37</v>
      </c>
      <c r="AA6" s="80">
        <v>1.35</v>
      </c>
      <c r="AB6" s="80">
        <v>1.33</v>
      </c>
      <c r="AC6" s="80">
        <v>1.3</v>
      </c>
      <c r="AD6" s="81">
        <v>0.65</v>
      </c>
      <c r="AE6" s="81">
        <v>1.25</v>
      </c>
      <c r="AF6" s="81">
        <v>1.23</v>
      </c>
      <c r="AG6" s="81">
        <v>1.21</v>
      </c>
      <c r="AH6" s="81">
        <v>1.2</v>
      </c>
      <c r="AI6" s="81">
        <v>1.17</v>
      </c>
      <c r="AJ6" s="82">
        <v>28.24</v>
      </c>
      <c r="AK6" s="82">
        <v>60.06</v>
      </c>
      <c r="AL6" s="82">
        <v>59.14</v>
      </c>
      <c r="AM6" s="82">
        <v>58.23</v>
      </c>
      <c r="AN6" s="82">
        <v>57.32</v>
      </c>
      <c r="AO6" s="82">
        <v>56.4</v>
      </c>
      <c r="AP6" s="83">
        <v>3897.99</v>
      </c>
      <c r="AQ6" s="83">
        <v>4313.7</v>
      </c>
      <c r="AR6" s="83">
        <v>4320.54</v>
      </c>
      <c r="AS6" s="83">
        <v>4329.2700000000004</v>
      </c>
      <c r="AT6" s="83">
        <v>4313.07</v>
      </c>
      <c r="AU6" s="83">
        <v>4351.68</v>
      </c>
      <c r="AV6" s="84">
        <v>4331.1000000000004</v>
      </c>
      <c r="AW6" s="84">
        <v>4793</v>
      </c>
      <c r="AX6" s="84">
        <v>4800.6000000000004</v>
      </c>
      <c r="AY6" s="84">
        <v>4810.3</v>
      </c>
      <c r="AZ6" s="84">
        <v>4792.3</v>
      </c>
      <c r="BA6" s="84">
        <v>4835.2</v>
      </c>
      <c r="BB6" s="85">
        <v>65868</v>
      </c>
      <c r="BC6" s="85">
        <v>140940</v>
      </c>
      <c r="BD6" s="85">
        <v>140940</v>
      </c>
      <c r="BE6" s="85">
        <v>140940</v>
      </c>
      <c r="BF6" s="85">
        <v>140940</v>
      </c>
      <c r="BG6" s="85">
        <v>140940</v>
      </c>
    </row>
    <row r="7" spans="1:59" ht="15.75" thickBot="1" x14ac:dyDescent="0.3">
      <c r="A7" s="74" t="s">
        <v>243</v>
      </c>
      <c r="B7" s="74" t="s">
        <v>120</v>
      </c>
      <c r="C7" s="75">
        <v>1</v>
      </c>
      <c r="D7" s="75">
        <v>1</v>
      </c>
      <c r="E7" s="75">
        <v>1</v>
      </c>
      <c r="F7" s="75">
        <v>1</v>
      </c>
      <c r="G7" s="75">
        <v>1</v>
      </c>
      <c r="H7" s="75">
        <v>1</v>
      </c>
      <c r="I7" s="76">
        <v>1</v>
      </c>
      <c r="J7" s="77">
        <v>0.04</v>
      </c>
      <c r="K7" s="77">
        <v>0.03</v>
      </c>
      <c r="L7" s="77">
        <v>0.03</v>
      </c>
      <c r="M7" s="77">
        <v>0.02</v>
      </c>
      <c r="N7" s="77">
        <v>0.02</v>
      </c>
      <c r="O7" s="77">
        <v>0.02</v>
      </c>
      <c r="P7" s="78">
        <v>90</v>
      </c>
      <c r="Q7" s="78">
        <v>0</v>
      </c>
      <c r="R7" s="79">
        <v>90</v>
      </c>
      <c r="S7" s="79">
        <v>90</v>
      </c>
      <c r="T7" s="79">
        <v>90</v>
      </c>
      <c r="U7" s="79">
        <v>90</v>
      </c>
      <c r="V7" s="79">
        <v>90</v>
      </c>
      <c r="W7" s="79">
        <v>90</v>
      </c>
      <c r="X7" s="80">
        <v>3.76</v>
      </c>
      <c r="Y7" s="80">
        <v>2.5299999999999998</v>
      </c>
      <c r="Z7" s="80">
        <v>2.5099999999999998</v>
      </c>
      <c r="AA7" s="80">
        <v>2.4500000000000002</v>
      </c>
      <c r="AB7" s="80">
        <v>2.4300000000000002</v>
      </c>
      <c r="AC7" s="80">
        <v>2.38</v>
      </c>
      <c r="AD7" s="81">
        <v>3.39</v>
      </c>
      <c r="AE7" s="81">
        <v>2.27</v>
      </c>
      <c r="AF7" s="81">
        <v>2.2599999999999998</v>
      </c>
      <c r="AG7" s="81">
        <v>2.2000000000000002</v>
      </c>
      <c r="AH7" s="81">
        <v>2.1800000000000002</v>
      </c>
      <c r="AI7" s="81">
        <v>2.14</v>
      </c>
      <c r="AJ7" s="82">
        <v>98.4</v>
      </c>
      <c r="AK7" s="82">
        <v>69.09</v>
      </c>
      <c r="AL7" s="82">
        <v>68.040000000000006</v>
      </c>
      <c r="AM7" s="82">
        <v>66.989999999999995</v>
      </c>
      <c r="AN7" s="82">
        <v>65.930000000000007</v>
      </c>
      <c r="AO7" s="82">
        <v>64.88</v>
      </c>
      <c r="AP7" s="83">
        <v>2613.6</v>
      </c>
      <c r="AQ7" s="83">
        <v>2735.1</v>
      </c>
      <c r="AR7" s="83">
        <v>2710.8</v>
      </c>
      <c r="AS7" s="83">
        <v>2735.1</v>
      </c>
      <c r="AT7" s="83">
        <v>2716.2</v>
      </c>
      <c r="AU7" s="83">
        <v>2727</v>
      </c>
      <c r="AV7" s="84">
        <v>2904</v>
      </c>
      <c r="AW7" s="84">
        <v>3039</v>
      </c>
      <c r="AX7" s="84">
        <v>3012</v>
      </c>
      <c r="AY7" s="84">
        <v>3039</v>
      </c>
      <c r="AZ7" s="84">
        <v>3018</v>
      </c>
      <c r="BA7" s="84">
        <v>3030</v>
      </c>
      <c r="BB7" s="85">
        <v>373934</v>
      </c>
      <c r="BC7" s="85">
        <v>266549</v>
      </c>
      <c r="BD7" s="85">
        <v>266549</v>
      </c>
      <c r="BE7" s="85">
        <v>266549</v>
      </c>
      <c r="BF7" s="85">
        <v>266549</v>
      </c>
      <c r="BG7" s="85">
        <v>266549</v>
      </c>
    </row>
    <row r="8" spans="1:59" ht="15.75" thickBot="1" x14ac:dyDescent="0.3">
      <c r="A8" s="74" t="s">
        <v>244</v>
      </c>
      <c r="B8" s="74" t="s">
        <v>245</v>
      </c>
      <c r="C8" s="75">
        <v>1</v>
      </c>
      <c r="D8" s="75">
        <v>1</v>
      </c>
      <c r="E8" s="75">
        <v>1</v>
      </c>
      <c r="F8" s="75">
        <v>1</v>
      </c>
      <c r="G8" s="75">
        <v>1</v>
      </c>
      <c r="H8" s="75">
        <v>1</v>
      </c>
      <c r="I8" s="76">
        <v>1</v>
      </c>
      <c r="J8" s="77">
        <v>0.14000000000000001</v>
      </c>
      <c r="K8" s="77">
        <v>0.03</v>
      </c>
      <c r="L8" s="77">
        <v>0.03</v>
      </c>
      <c r="M8" s="77">
        <v>0.02</v>
      </c>
      <c r="N8" s="77">
        <v>0.02</v>
      </c>
      <c r="O8" s="77">
        <v>0.01</v>
      </c>
      <c r="P8" s="78">
        <v>90</v>
      </c>
      <c r="Q8" s="78">
        <v>0</v>
      </c>
      <c r="R8" s="79">
        <v>90</v>
      </c>
      <c r="S8" s="79">
        <v>90</v>
      </c>
      <c r="T8" s="79">
        <v>90</v>
      </c>
      <c r="U8" s="79">
        <v>90</v>
      </c>
      <c r="V8" s="79">
        <v>90</v>
      </c>
      <c r="W8" s="79">
        <v>90</v>
      </c>
      <c r="X8" s="80">
        <v>14.35</v>
      </c>
      <c r="Y8" s="80">
        <v>3.35</v>
      </c>
      <c r="Z8" s="80">
        <v>2.82</v>
      </c>
      <c r="AA8" s="80">
        <v>2.25</v>
      </c>
      <c r="AB8" s="80">
        <v>1.73</v>
      </c>
      <c r="AC8" s="80">
        <v>1.46</v>
      </c>
      <c r="AD8" s="81">
        <v>12.91</v>
      </c>
      <c r="AE8" s="81">
        <v>3.02</v>
      </c>
      <c r="AF8" s="81">
        <v>2.54</v>
      </c>
      <c r="AG8" s="81">
        <v>2.0299999999999998</v>
      </c>
      <c r="AH8" s="81">
        <v>1.56</v>
      </c>
      <c r="AI8" s="81">
        <v>1.31</v>
      </c>
      <c r="AJ8" s="82">
        <v>374.99</v>
      </c>
      <c r="AK8" s="82">
        <v>91.7</v>
      </c>
      <c r="AL8" s="82">
        <v>76.41</v>
      </c>
      <c r="AM8" s="82">
        <v>61.55</v>
      </c>
      <c r="AN8" s="82">
        <v>47.12</v>
      </c>
      <c r="AO8" s="82">
        <v>39.74</v>
      </c>
      <c r="AP8" s="83">
        <v>2613.6</v>
      </c>
      <c r="AQ8" s="83">
        <v>2735.1</v>
      </c>
      <c r="AR8" s="83">
        <v>2710.8</v>
      </c>
      <c r="AS8" s="83">
        <v>2735.1</v>
      </c>
      <c r="AT8" s="83">
        <v>2716.2</v>
      </c>
      <c r="AU8" s="83">
        <v>2727</v>
      </c>
      <c r="AV8" s="84">
        <v>2904</v>
      </c>
      <c r="AW8" s="84">
        <v>3039</v>
      </c>
      <c r="AX8" s="84">
        <v>3012</v>
      </c>
      <c r="AY8" s="84">
        <v>3039</v>
      </c>
      <c r="AZ8" s="84">
        <v>3018</v>
      </c>
      <c r="BA8" s="84">
        <v>3030</v>
      </c>
      <c r="BB8" s="85">
        <v>2812488</v>
      </c>
      <c r="BC8" s="85">
        <v>698228</v>
      </c>
      <c r="BD8" s="85">
        <v>590808</v>
      </c>
      <c r="BE8" s="85">
        <v>483389</v>
      </c>
      <c r="BF8" s="85">
        <v>375969</v>
      </c>
      <c r="BG8" s="85">
        <v>322259</v>
      </c>
    </row>
    <row r="9" spans="1:59" ht="15.75" thickBot="1" x14ac:dyDescent="0.3">
      <c r="A9" s="74" t="s">
        <v>246</v>
      </c>
      <c r="B9" s="74" t="s">
        <v>44</v>
      </c>
      <c r="C9" s="75">
        <v>1</v>
      </c>
      <c r="D9" s="75">
        <v>1</v>
      </c>
      <c r="E9" s="75">
        <v>1</v>
      </c>
      <c r="F9" s="75">
        <v>1</v>
      </c>
      <c r="G9" s="75">
        <v>1</v>
      </c>
      <c r="H9" s="75">
        <v>1</v>
      </c>
      <c r="I9" s="76">
        <v>1</v>
      </c>
      <c r="J9" s="77">
        <v>0</v>
      </c>
      <c r="K9" s="77">
        <v>0.04</v>
      </c>
      <c r="L9" s="77">
        <v>0</v>
      </c>
      <c r="M9" s="77">
        <v>0</v>
      </c>
      <c r="N9" s="77">
        <v>0</v>
      </c>
      <c r="O9" s="77">
        <v>0</v>
      </c>
      <c r="P9" s="78">
        <v>90</v>
      </c>
      <c r="Q9" s="78">
        <v>0</v>
      </c>
      <c r="R9" s="79">
        <v>90</v>
      </c>
      <c r="S9" s="79">
        <v>90</v>
      </c>
      <c r="T9" s="79">
        <v>90</v>
      </c>
      <c r="U9" s="79">
        <v>90</v>
      </c>
      <c r="V9" s="79">
        <v>90</v>
      </c>
      <c r="W9" s="79">
        <v>90</v>
      </c>
      <c r="X9" s="80">
        <v>0</v>
      </c>
      <c r="Y9" s="80">
        <v>3.65</v>
      </c>
      <c r="Z9" s="80">
        <v>0</v>
      </c>
      <c r="AA9" s="80">
        <v>0</v>
      </c>
      <c r="AB9" s="80">
        <v>0</v>
      </c>
      <c r="AC9" s="80">
        <v>0</v>
      </c>
      <c r="AD9" s="81">
        <v>0</v>
      </c>
      <c r="AE9" s="81">
        <v>3.29</v>
      </c>
      <c r="AF9" s="81">
        <v>0</v>
      </c>
      <c r="AG9" s="81">
        <v>0</v>
      </c>
      <c r="AH9" s="81">
        <v>0</v>
      </c>
      <c r="AI9" s="81">
        <v>0</v>
      </c>
      <c r="AJ9" s="82">
        <v>0</v>
      </c>
      <c r="AK9" s="82">
        <v>157.6</v>
      </c>
      <c r="AL9" s="82">
        <v>0</v>
      </c>
      <c r="AM9" s="82">
        <v>0</v>
      </c>
      <c r="AN9" s="82">
        <v>0</v>
      </c>
      <c r="AO9" s="82">
        <v>0</v>
      </c>
      <c r="AP9" s="83">
        <v>3897.99</v>
      </c>
      <c r="AQ9" s="83">
        <v>4313.7</v>
      </c>
      <c r="AR9" s="83">
        <v>4320.54</v>
      </c>
      <c r="AS9" s="83">
        <v>4329.2700000000004</v>
      </c>
      <c r="AT9" s="83">
        <v>4313.07</v>
      </c>
      <c r="AU9" s="83">
        <v>4351.68</v>
      </c>
      <c r="AV9" s="84">
        <v>4331.1000000000004</v>
      </c>
      <c r="AW9" s="84">
        <v>4793</v>
      </c>
      <c r="AX9" s="84">
        <v>4800.6000000000004</v>
      </c>
      <c r="AY9" s="84">
        <v>4810.3</v>
      </c>
      <c r="AZ9" s="84">
        <v>4792.3</v>
      </c>
      <c r="BA9" s="84">
        <v>4835.2</v>
      </c>
      <c r="BB9" s="85">
        <v>0</v>
      </c>
      <c r="BC9" s="85">
        <v>48000</v>
      </c>
      <c r="BD9" s="85">
        <v>0</v>
      </c>
      <c r="BE9" s="85">
        <v>0</v>
      </c>
      <c r="BF9" s="85">
        <v>0</v>
      </c>
      <c r="BG9" s="85">
        <v>0</v>
      </c>
    </row>
    <row r="10" spans="1:59" ht="15.75" thickBot="1" x14ac:dyDescent="0.3">
      <c r="A10" s="74" t="s">
        <v>247</v>
      </c>
      <c r="B10" s="74" t="s">
        <v>248</v>
      </c>
      <c r="C10" s="75">
        <v>1</v>
      </c>
      <c r="D10" s="75">
        <v>1</v>
      </c>
      <c r="E10" s="75">
        <v>1</v>
      </c>
      <c r="F10" s="75">
        <v>1</v>
      </c>
      <c r="G10" s="75">
        <v>1</v>
      </c>
      <c r="H10" s="75">
        <v>1</v>
      </c>
      <c r="I10" s="76">
        <v>1</v>
      </c>
      <c r="J10" s="77">
        <v>7.0000000000000007E-2</v>
      </c>
      <c r="K10" s="77">
        <v>7.0000000000000007E-2</v>
      </c>
      <c r="L10" s="77">
        <v>7.0000000000000007E-2</v>
      </c>
      <c r="M10" s="77">
        <v>0.06</v>
      </c>
      <c r="N10" s="77">
        <v>0.06</v>
      </c>
      <c r="O10" s="77">
        <v>0.06</v>
      </c>
      <c r="P10" s="78">
        <v>90</v>
      </c>
      <c r="Q10" s="78">
        <v>0</v>
      </c>
      <c r="R10" s="79">
        <v>90</v>
      </c>
      <c r="S10" s="79">
        <v>90</v>
      </c>
      <c r="T10" s="79">
        <v>90</v>
      </c>
      <c r="U10" s="79">
        <v>90</v>
      </c>
      <c r="V10" s="79">
        <v>90</v>
      </c>
      <c r="W10" s="79">
        <v>90</v>
      </c>
      <c r="X10" s="80">
        <v>6.95</v>
      </c>
      <c r="Y10" s="80">
        <v>6.64</v>
      </c>
      <c r="Z10" s="80">
        <v>6.52</v>
      </c>
      <c r="AA10" s="80">
        <v>6.41</v>
      </c>
      <c r="AB10" s="80">
        <v>6.33</v>
      </c>
      <c r="AC10" s="80">
        <v>6.18</v>
      </c>
      <c r="AD10" s="81">
        <v>6.26</v>
      </c>
      <c r="AE10" s="81">
        <v>5.97</v>
      </c>
      <c r="AF10" s="81">
        <v>5.87</v>
      </c>
      <c r="AG10" s="81">
        <v>5.77</v>
      </c>
      <c r="AH10" s="81">
        <v>5.7</v>
      </c>
      <c r="AI10" s="81">
        <v>5.56</v>
      </c>
      <c r="AJ10" s="82">
        <v>271.08</v>
      </c>
      <c r="AK10" s="82">
        <v>286.27</v>
      </c>
      <c r="AL10" s="82">
        <v>281.91000000000003</v>
      </c>
      <c r="AM10" s="82">
        <v>277.55</v>
      </c>
      <c r="AN10" s="82">
        <v>273.19</v>
      </c>
      <c r="AO10" s="82">
        <v>268.83999999999997</v>
      </c>
      <c r="AP10" s="83">
        <v>3897.99</v>
      </c>
      <c r="AQ10" s="83">
        <v>4313.7</v>
      </c>
      <c r="AR10" s="83">
        <v>4320.54</v>
      </c>
      <c r="AS10" s="83">
        <v>4329.2700000000004</v>
      </c>
      <c r="AT10" s="83">
        <v>4313.07</v>
      </c>
      <c r="AU10" s="83">
        <v>4351.68</v>
      </c>
      <c r="AV10" s="84">
        <v>4331.1000000000004</v>
      </c>
      <c r="AW10" s="84">
        <v>4793</v>
      </c>
      <c r="AX10" s="84">
        <v>4800.6000000000004</v>
      </c>
      <c r="AY10" s="84">
        <v>4810.3</v>
      </c>
      <c r="AZ10" s="84">
        <v>4792.3</v>
      </c>
      <c r="BA10" s="84">
        <v>4835.2</v>
      </c>
      <c r="BB10" s="85">
        <v>1097430</v>
      </c>
      <c r="BC10" s="85">
        <v>1067169</v>
      </c>
      <c r="BD10" s="85">
        <v>1067169</v>
      </c>
      <c r="BE10" s="85">
        <v>1067169</v>
      </c>
      <c r="BF10" s="85">
        <v>1067169</v>
      </c>
      <c r="BG10" s="85">
        <v>1067169</v>
      </c>
    </row>
    <row r="11" spans="1:59" ht="15.75" thickBot="1" x14ac:dyDescent="0.3">
      <c r="A11" s="74" t="s">
        <v>249</v>
      </c>
      <c r="B11" s="74" t="s">
        <v>250</v>
      </c>
      <c r="C11" s="75">
        <v>1</v>
      </c>
      <c r="D11" s="75">
        <v>1</v>
      </c>
      <c r="E11" s="75">
        <v>1</v>
      </c>
      <c r="F11" s="75">
        <v>1</v>
      </c>
      <c r="G11" s="75">
        <v>1</v>
      </c>
      <c r="H11" s="75">
        <v>1</v>
      </c>
      <c r="I11" s="76">
        <v>1</v>
      </c>
      <c r="J11" s="77">
        <v>0.08</v>
      </c>
      <c r="K11" s="77">
        <v>7.0000000000000007E-2</v>
      </c>
      <c r="L11" s="77">
        <v>7.0000000000000007E-2</v>
      </c>
      <c r="M11" s="77">
        <v>7.0000000000000007E-2</v>
      </c>
      <c r="N11" s="77">
        <v>7.0000000000000007E-2</v>
      </c>
      <c r="O11" s="77">
        <v>7.0000000000000007E-2</v>
      </c>
      <c r="P11" s="78">
        <v>85</v>
      </c>
      <c r="Q11" s="78">
        <v>0</v>
      </c>
      <c r="R11" s="79">
        <v>85</v>
      </c>
      <c r="S11" s="79">
        <v>85</v>
      </c>
      <c r="T11" s="79">
        <v>85</v>
      </c>
      <c r="U11" s="79">
        <v>85</v>
      </c>
      <c r="V11" s="79">
        <v>85</v>
      </c>
      <c r="W11" s="79">
        <v>85</v>
      </c>
      <c r="X11" s="80">
        <v>7.89</v>
      </c>
      <c r="Y11" s="80">
        <v>7.07</v>
      </c>
      <c r="Z11" s="80">
        <v>7.03</v>
      </c>
      <c r="AA11" s="80">
        <v>6.86</v>
      </c>
      <c r="AB11" s="80">
        <v>6.8</v>
      </c>
      <c r="AC11" s="80">
        <v>6.66</v>
      </c>
      <c r="AD11" s="81">
        <v>6.7</v>
      </c>
      <c r="AE11" s="81">
        <v>6.01</v>
      </c>
      <c r="AF11" s="81">
        <v>5.97</v>
      </c>
      <c r="AG11" s="81">
        <v>5.83</v>
      </c>
      <c r="AH11" s="81">
        <v>5.78</v>
      </c>
      <c r="AI11" s="81">
        <v>5.66</v>
      </c>
      <c r="AJ11" s="82">
        <v>194.65</v>
      </c>
      <c r="AK11" s="82">
        <v>182.68</v>
      </c>
      <c r="AL11" s="82">
        <v>179.9</v>
      </c>
      <c r="AM11" s="82">
        <v>177.11</v>
      </c>
      <c r="AN11" s="82">
        <v>174.33</v>
      </c>
      <c r="AO11" s="82">
        <v>171.55</v>
      </c>
      <c r="AP11" s="83">
        <v>2468.4</v>
      </c>
      <c r="AQ11" s="83">
        <v>2583.15</v>
      </c>
      <c r="AR11" s="83">
        <v>2560.1999999999998</v>
      </c>
      <c r="AS11" s="83">
        <v>2583.15</v>
      </c>
      <c r="AT11" s="83">
        <v>2565.3000000000002</v>
      </c>
      <c r="AU11" s="83">
        <v>2575.5</v>
      </c>
      <c r="AV11" s="84">
        <v>2904</v>
      </c>
      <c r="AW11" s="84">
        <v>3039</v>
      </c>
      <c r="AX11" s="84">
        <v>3012</v>
      </c>
      <c r="AY11" s="84">
        <v>3039</v>
      </c>
      <c r="AZ11" s="84">
        <v>3018</v>
      </c>
      <c r="BA11" s="84">
        <v>3030</v>
      </c>
      <c r="BB11" s="85">
        <v>350369</v>
      </c>
      <c r="BC11" s="85">
        <v>333831</v>
      </c>
      <c r="BD11" s="85">
        <v>333831</v>
      </c>
      <c r="BE11" s="85">
        <v>333831</v>
      </c>
      <c r="BF11" s="85">
        <v>333831</v>
      </c>
      <c r="BG11" s="85">
        <v>333831</v>
      </c>
    </row>
    <row r="12" spans="1:59" ht="15.75" thickBot="1" x14ac:dyDescent="0.3">
      <c r="A12" s="74" t="s">
        <v>251</v>
      </c>
      <c r="B12" s="74" t="s">
        <v>126</v>
      </c>
      <c r="C12" s="75">
        <v>1</v>
      </c>
      <c r="D12" s="75">
        <v>1</v>
      </c>
      <c r="E12" s="75">
        <v>1</v>
      </c>
      <c r="F12" s="75">
        <v>1</v>
      </c>
      <c r="G12" s="75">
        <v>1</v>
      </c>
      <c r="H12" s="75">
        <v>1</v>
      </c>
      <c r="I12" s="76">
        <v>1</v>
      </c>
      <c r="J12" s="77">
        <v>0.51</v>
      </c>
      <c r="K12" s="77">
        <v>0.44</v>
      </c>
      <c r="L12" s="77">
        <v>0.44</v>
      </c>
      <c r="M12" s="77">
        <v>0.43</v>
      </c>
      <c r="N12" s="77">
        <v>0.42</v>
      </c>
      <c r="O12" s="77">
        <v>0.41</v>
      </c>
      <c r="P12" s="78">
        <v>90</v>
      </c>
      <c r="Q12" s="78">
        <v>0</v>
      </c>
      <c r="R12" s="79">
        <v>90</v>
      </c>
      <c r="S12" s="79">
        <v>90</v>
      </c>
      <c r="T12" s="79">
        <v>90</v>
      </c>
      <c r="U12" s="79">
        <v>90</v>
      </c>
      <c r="V12" s="79">
        <v>90</v>
      </c>
      <c r="W12" s="79">
        <v>90</v>
      </c>
      <c r="X12" s="80">
        <v>51.46</v>
      </c>
      <c r="Y12" s="80">
        <v>44</v>
      </c>
      <c r="Z12" s="80">
        <v>43.65</v>
      </c>
      <c r="AA12" s="80">
        <v>42.53</v>
      </c>
      <c r="AB12" s="80">
        <v>42.09</v>
      </c>
      <c r="AC12" s="80">
        <v>41.23</v>
      </c>
      <c r="AD12" s="81">
        <v>46.32</v>
      </c>
      <c r="AE12" s="81">
        <v>39.6</v>
      </c>
      <c r="AF12" s="81">
        <v>39.29</v>
      </c>
      <c r="AG12" s="81">
        <v>38.28</v>
      </c>
      <c r="AH12" s="81">
        <v>37.880000000000003</v>
      </c>
      <c r="AI12" s="81">
        <v>37.1</v>
      </c>
      <c r="AJ12" s="82">
        <v>1345.07</v>
      </c>
      <c r="AK12" s="82">
        <v>1203.3599999999999</v>
      </c>
      <c r="AL12" s="82">
        <v>1183.31</v>
      </c>
      <c r="AM12" s="82">
        <v>1163.31</v>
      </c>
      <c r="AN12" s="82">
        <v>1143.32</v>
      </c>
      <c r="AO12" s="82">
        <v>1124.27</v>
      </c>
      <c r="AP12" s="83">
        <v>2613.6</v>
      </c>
      <c r="AQ12" s="83">
        <v>2735.1</v>
      </c>
      <c r="AR12" s="83">
        <v>2710.8</v>
      </c>
      <c r="AS12" s="83">
        <v>2735.1</v>
      </c>
      <c r="AT12" s="83">
        <v>2716.2</v>
      </c>
      <c r="AU12" s="83">
        <v>2727</v>
      </c>
      <c r="AV12" s="84">
        <v>2904</v>
      </c>
      <c r="AW12" s="84">
        <v>3039</v>
      </c>
      <c r="AX12" s="84">
        <v>3012</v>
      </c>
      <c r="AY12" s="84">
        <v>3039</v>
      </c>
      <c r="AZ12" s="84">
        <v>3018</v>
      </c>
      <c r="BA12" s="84">
        <v>3030</v>
      </c>
      <c r="BB12" s="85">
        <v>14036722</v>
      </c>
      <c r="BC12" s="85">
        <v>8397478</v>
      </c>
      <c r="BD12" s="85">
        <v>8290058</v>
      </c>
      <c r="BE12" s="85">
        <v>8182639</v>
      </c>
      <c r="BF12" s="85">
        <v>8075219</v>
      </c>
      <c r="BG12" s="85">
        <v>8021509</v>
      </c>
    </row>
    <row r="13" spans="1:59" ht="15.75" thickBot="1" x14ac:dyDescent="0.3">
      <c r="A13" s="74" t="s">
        <v>252</v>
      </c>
      <c r="B13" s="74" t="s">
        <v>95</v>
      </c>
      <c r="C13" s="75">
        <v>1</v>
      </c>
      <c r="D13" s="75">
        <v>1</v>
      </c>
      <c r="E13" s="75">
        <v>1</v>
      </c>
      <c r="F13" s="75">
        <v>1</v>
      </c>
      <c r="G13" s="75">
        <v>1</v>
      </c>
      <c r="H13" s="75">
        <v>1</v>
      </c>
      <c r="I13" s="76">
        <v>1</v>
      </c>
      <c r="J13" s="77">
        <v>0.47</v>
      </c>
      <c r="K13" s="77">
        <v>0.46</v>
      </c>
      <c r="L13" s="77">
        <v>0.43</v>
      </c>
      <c r="M13" s="77">
        <v>0.42</v>
      </c>
      <c r="N13" s="77">
        <v>0.42</v>
      </c>
      <c r="O13" s="77">
        <v>0.41</v>
      </c>
      <c r="P13" s="78">
        <v>90</v>
      </c>
      <c r="Q13" s="78">
        <v>0</v>
      </c>
      <c r="R13" s="79">
        <v>90</v>
      </c>
      <c r="S13" s="79">
        <v>90</v>
      </c>
      <c r="T13" s="79">
        <v>90</v>
      </c>
      <c r="U13" s="79">
        <v>90</v>
      </c>
      <c r="V13" s="79">
        <v>90</v>
      </c>
      <c r="W13" s="79">
        <v>90</v>
      </c>
      <c r="X13" s="80">
        <v>46.77</v>
      </c>
      <c r="Y13" s="80">
        <v>45.8</v>
      </c>
      <c r="Z13" s="80">
        <v>43.08</v>
      </c>
      <c r="AA13" s="80">
        <v>42.48</v>
      </c>
      <c r="AB13" s="80">
        <v>42.16</v>
      </c>
      <c r="AC13" s="80">
        <v>41.42</v>
      </c>
      <c r="AD13" s="81">
        <v>42.1</v>
      </c>
      <c r="AE13" s="81">
        <v>41.22</v>
      </c>
      <c r="AF13" s="81">
        <v>38.770000000000003</v>
      </c>
      <c r="AG13" s="81">
        <v>38.229999999999997</v>
      </c>
      <c r="AH13" s="81">
        <v>37.94</v>
      </c>
      <c r="AI13" s="81">
        <v>37.270000000000003</v>
      </c>
      <c r="AJ13" s="82">
        <v>1823.23</v>
      </c>
      <c r="AK13" s="82">
        <v>1975.61</v>
      </c>
      <c r="AL13" s="82">
        <v>1861.19</v>
      </c>
      <c r="AM13" s="82">
        <v>1839.16</v>
      </c>
      <c r="AN13" s="82">
        <v>1818.43</v>
      </c>
      <c r="AO13" s="82">
        <v>1802.28</v>
      </c>
      <c r="AP13" s="83">
        <v>3897.99</v>
      </c>
      <c r="AQ13" s="83">
        <v>4313.7</v>
      </c>
      <c r="AR13" s="83">
        <v>4320.54</v>
      </c>
      <c r="AS13" s="83">
        <v>4329.2700000000004</v>
      </c>
      <c r="AT13" s="83">
        <v>4313.07</v>
      </c>
      <c r="AU13" s="83">
        <v>4351.68</v>
      </c>
      <c r="AV13" s="84">
        <v>4331.1000000000004</v>
      </c>
      <c r="AW13" s="84">
        <v>4793</v>
      </c>
      <c r="AX13" s="84">
        <v>4800.6000000000004</v>
      </c>
      <c r="AY13" s="84">
        <v>4810.3</v>
      </c>
      <c r="AZ13" s="84">
        <v>4792.3</v>
      </c>
      <c r="BA13" s="84">
        <v>4835.2</v>
      </c>
      <c r="BB13" s="85">
        <v>13456508.52</v>
      </c>
      <c r="BC13" s="85">
        <v>10167171</v>
      </c>
      <c r="BD13" s="85">
        <v>10173730</v>
      </c>
      <c r="BE13" s="85">
        <v>10228122</v>
      </c>
      <c r="BF13" s="85">
        <v>10287225</v>
      </c>
      <c r="BG13" s="85">
        <v>10356683</v>
      </c>
    </row>
    <row r="14" spans="1:59" ht="15.75" thickBot="1" x14ac:dyDescent="0.3">
      <c r="A14" s="74" t="s">
        <v>253</v>
      </c>
      <c r="B14" s="74" t="s">
        <v>254</v>
      </c>
      <c r="C14" s="75">
        <v>1</v>
      </c>
      <c r="D14" s="75">
        <v>1</v>
      </c>
      <c r="E14" s="75">
        <v>1</v>
      </c>
      <c r="F14" s="75">
        <v>1</v>
      </c>
      <c r="G14" s="75">
        <v>1</v>
      </c>
      <c r="H14" s="75">
        <v>1</v>
      </c>
      <c r="I14" s="76">
        <v>1</v>
      </c>
      <c r="J14" s="77">
        <v>0.55000000000000004</v>
      </c>
      <c r="K14" s="77">
        <v>0.54</v>
      </c>
      <c r="L14" s="77">
        <v>0.54</v>
      </c>
      <c r="M14" s="77">
        <v>0.52</v>
      </c>
      <c r="N14" s="77">
        <v>0.52</v>
      </c>
      <c r="O14" s="77">
        <v>0.51</v>
      </c>
      <c r="P14" s="78">
        <v>90</v>
      </c>
      <c r="Q14" s="78">
        <v>0</v>
      </c>
      <c r="R14" s="79">
        <v>90</v>
      </c>
      <c r="S14" s="79">
        <v>90</v>
      </c>
      <c r="T14" s="79">
        <v>90</v>
      </c>
      <c r="U14" s="79">
        <v>90</v>
      </c>
      <c r="V14" s="79">
        <v>90</v>
      </c>
      <c r="W14" s="79">
        <v>90</v>
      </c>
      <c r="X14" s="80">
        <v>54.8</v>
      </c>
      <c r="Y14" s="80">
        <v>53.94</v>
      </c>
      <c r="Z14" s="80">
        <v>53.6</v>
      </c>
      <c r="AA14" s="80">
        <v>52.3</v>
      </c>
      <c r="AB14" s="80">
        <v>51.83</v>
      </c>
      <c r="AC14" s="80">
        <v>50.8</v>
      </c>
      <c r="AD14" s="81">
        <v>49.32</v>
      </c>
      <c r="AE14" s="81">
        <v>48.55</v>
      </c>
      <c r="AF14" s="81">
        <v>48.24</v>
      </c>
      <c r="AG14" s="81">
        <v>47.07</v>
      </c>
      <c r="AH14" s="81">
        <v>46.65</v>
      </c>
      <c r="AI14" s="81">
        <v>45.72</v>
      </c>
      <c r="AJ14" s="82">
        <v>1432.37</v>
      </c>
      <c r="AK14" s="82">
        <v>1475.33</v>
      </c>
      <c r="AL14" s="82">
        <v>1452.87</v>
      </c>
      <c r="AM14" s="82">
        <v>1430.39</v>
      </c>
      <c r="AN14" s="82">
        <v>1407.92</v>
      </c>
      <c r="AO14" s="82">
        <v>1385.45</v>
      </c>
      <c r="AP14" s="83">
        <v>2613.6</v>
      </c>
      <c r="AQ14" s="83">
        <v>2735.1</v>
      </c>
      <c r="AR14" s="83">
        <v>2710.8</v>
      </c>
      <c r="AS14" s="83">
        <v>2735.1</v>
      </c>
      <c r="AT14" s="83">
        <v>2716.2</v>
      </c>
      <c r="AU14" s="83">
        <v>2727</v>
      </c>
      <c r="AV14" s="84">
        <v>2904</v>
      </c>
      <c r="AW14" s="84">
        <v>3039</v>
      </c>
      <c r="AX14" s="84">
        <v>3012</v>
      </c>
      <c r="AY14" s="84">
        <v>3039</v>
      </c>
      <c r="AZ14" s="84">
        <v>3018</v>
      </c>
      <c r="BA14" s="84">
        <v>3030</v>
      </c>
      <c r="BB14" s="85">
        <v>3217339</v>
      </c>
      <c r="BC14" s="85">
        <v>3076193</v>
      </c>
      <c r="BD14" s="85">
        <v>3076193</v>
      </c>
      <c r="BE14" s="85">
        <v>3076193</v>
      </c>
      <c r="BF14" s="85">
        <v>3076193</v>
      </c>
      <c r="BG14" s="85">
        <v>3076193</v>
      </c>
    </row>
    <row r="15" spans="1:59" ht="15.75" thickBot="1" x14ac:dyDescent="0.3">
      <c r="A15" s="74" t="s">
        <v>255</v>
      </c>
      <c r="B15" s="74" t="s">
        <v>256</v>
      </c>
      <c r="C15" s="75">
        <v>1</v>
      </c>
      <c r="D15" s="75">
        <v>1</v>
      </c>
      <c r="E15" s="75">
        <v>1</v>
      </c>
      <c r="F15" s="75">
        <v>1</v>
      </c>
      <c r="G15" s="75">
        <v>1</v>
      </c>
      <c r="H15" s="75">
        <v>1</v>
      </c>
      <c r="I15" s="76">
        <v>1</v>
      </c>
      <c r="J15" s="77">
        <v>0.5</v>
      </c>
      <c r="K15" s="77">
        <v>0.57999999999999996</v>
      </c>
      <c r="L15" s="77">
        <v>0.64</v>
      </c>
      <c r="M15" s="77">
        <v>0.72</v>
      </c>
      <c r="N15" s="77">
        <v>0.81</v>
      </c>
      <c r="O15" s="77">
        <v>0.81</v>
      </c>
      <c r="P15" s="78">
        <v>90</v>
      </c>
      <c r="Q15" s="78">
        <v>0</v>
      </c>
      <c r="R15" s="79">
        <v>90</v>
      </c>
      <c r="S15" s="79">
        <v>90</v>
      </c>
      <c r="T15" s="79">
        <v>90</v>
      </c>
      <c r="U15" s="79">
        <v>90</v>
      </c>
      <c r="V15" s="79">
        <v>90</v>
      </c>
      <c r="W15" s="79">
        <v>90</v>
      </c>
      <c r="X15" s="80">
        <v>49.81</v>
      </c>
      <c r="Y15" s="80">
        <v>58</v>
      </c>
      <c r="Z15" s="80">
        <v>63.77</v>
      </c>
      <c r="AA15" s="80">
        <v>72.11</v>
      </c>
      <c r="AB15" s="80">
        <v>80.52</v>
      </c>
      <c r="AC15" s="80">
        <v>81.42</v>
      </c>
      <c r="AD15" s="81">
        <v>44.83</v>
      </c>
      <c r="AE15" s="81">
        <v>52.2</v>
      </c>
      <c r="AF15" s="81">
        <v>57.39</v>
      </c>
      <c r="AG15" s="81">
        <v>64.900000000000006</v>
      </c>
      <c r="AH15" s="81">
        <v>72.47</v>
      </c>
      <c r="AI15" s="81">
        <v>73.27</v>
      </c>
      <c r="AJ15" s="82">
        <v>2715.46</v>
      </c>
      <c r="AK15" s="82">
        <v>3539.45</v>
      </c>
      <c r="AL15" s="82">
        <v>3893.05</v>
      </c>
      <c r="AM15" s="82">
        <v>4415.91</v>
      </c>
      <c r="AN15" s="82">
        <v>4908.99</v>
      </c>
      <c r="AO15" s="82">
        <v>5005.3900000000003</v>
      </c>
      <c r="AP15" s="83">
        <v>5451.3</v>
      </c>
      <c r="AQ15" s="83">
        <v>6102</v>
      </c>
      <c r="AR15" s="83">
        <v>6104.7</v>
      </c>
      <c r="AS15" s="83">
        <v>6123.6</v>
      </c>
      <c r="AT15" s="83">
        <v>6096.6</v>
      </c>
      <c r="AU15" s="83">
        <v>6147.9</v>
      </c>
      <c r="AV15" s="84">
        <v>6057</v>
      </c>
      <c r="AW15" s="84">
        <v>6780</v>
      </c>
      <c r="AX15" s="84">
        <v>6783</v>
      </c>
      <c r="AY15" s="84">
        <v>6804</v>
      </c>
      <c r="AZ15" s="84">
        <v>6774</v>
      </c>
      <c r="BA15" s="84">
        <v>6831</v>
      </c>
      <c r="BB15" s="85">
        <v>601283</v>
      </c>
      <c r="BC15" s="85">
        <v>814370</v>
      </c>
      <c r="BD15" s="85">
        <v>915194</v>
      </c>
      <c r="BE15" s="85">
        <v>1061725</v>
      </c>
      <c r="BF15" s="85">
        <v>1205325</v>
      </c>
      <c r="BG15" s="85">
        <v>1250662</v>
      </c>
    </row>
    <row r="16" spans="1:59" ht="15.75" thickBot="1" x14ac:dyDescent="0.3">
      <c r="A16" s="74" t="s">
        <v>257</v>
      </c>
      <c r="B16" s="74" t="s">
        <v>267</v>
      </c>
      <c r="C16" s="75">
        <v>1</v>
      </c>
      <c r="D16" s="75">
        <v>1</v>
      </c>
      <c r="E16" s="75">
        <v>1</v>
      </c>
      <c r="F16" s="75">
        <v>1</v>
      </c>
      <c r="G16" s="75">
        <v>1</v>
      </c>
      <c r="H16" s="75">
        <v>1</v>
      </c>
      <c r="I16" s="76">
        <v>1</v>
      </c>
      <c r="J16" s="77">
        <v>0.63</v>
      </c>
      <c r="K16" s="77">
        <v>0.63</v>
      </c>
      <c r="L16" s="77">
        <v>0.67</v>
      </c>
      <c r="M16" s="77">
        <v>0.73</v>
      </c>
      <c r="N16" s="77">
        <v>0.79</v>
      </c>
      <c r="O16" s="77">
        <v>0.79</v>
      </c>
      <c r="P16" s="78">
        <v>90</v>
      </c>
      <c r="Q16" s="78">
        <v>0</v>
      </c>
      <c r="R16" s="79">
        <v>90</v>
      </c>
      <c r="S16" s="79">
        <v>90</v>
      </c>
      <c r="T16" s="79">
        <v>90</v>
      </c>
      <c r="U16" s="79">
        <v>90</v>
      </c>
      <c r="V16" s="79">
        <v>90</v>
      </c>
      <c r="W16" s="79">
        <v>90</v>
      </c>
      <c r="X16" s="80">
        <v>62.59</v>
      </c>
      <c r="Y16" s="80">
        <v>63.35</v>
      </c>
      <c r="Z16" s="80">
        <v>67.19</v>
      </c>
      <c r="AA16" s="80">
        <v>73.010000000000005</v>
      </c>
      <c r="AB16" s="80">
        <v>78.91</v>
      </c>
      <c r="AC16" s="80">
        <v>79.05</v>
      </c>
      <c r="AD16" s="81">
        <v>56.33</v>
      </c>
      <c r="AE16" s="81">
        <v>57.02</v>
      </c>
      <c r="AF16" s="81">
        <v>60.47</v>
      </c>
      <c r="AG16" s="81">
        <v>65.709999999999994</v>
      </c>
      <c r="AH16" s="81">
        <v>71.02</v>
      </c>
      <c r="AI16" s="81">
        <v>71.14</v>
      </c>
      <c r="AJ16" s="82">
        <v>2439.6999999999998</v>
      </c>
      <c r="AK16" s="82">
        <v>2732.84</v>
      </c>
      <c r="AL16" s="82">
        <v>2902.89</v>
      </c>
      <c r="AM16" s="82">
        <v>3160.91</v>
      </c>
      <c r="AN16" s="82">
        <v>3403.43</v>
      </c>
      <c r="AO16" s="82">
        <v>3439.91</v>
      </c>
      <c r="AP16" s="83">
        <v>3897.99</v>
      </c>
      <c r="AQ16" s="83">
        <v>4313.7</v>
      </c>
      <c r="AR16" s="83">
        <v>4320.54</v>
      </c>
      <c r="AS16" s="83">
        <v>4329.2700000000004</v>
      </c>
      <c r="AT16" s="83">
        <v>4313.07</v>
      </c>
      <c r="AU16" s="83">
        <v>4351.68</v>
      </c>
      <c r="AV16" s="84">
        <v>4331.1000000000004</v>
      </c>
      <c r="AW16" s="84">
        <v>4793</v>
      </c>
      <c r="AX16" s="84">
        <v>4800.6000000000004</v>
      </c>
      <c r="AY16" s="84">
        <v>4810.3</v>
      </c>
      <c r="AZ16" s="84">
        <v>4792.3</v>
      </c>
      <c r="BA16" s="84">
        <v>4835.2</v>
      </c>
      <c r="BB16" s="85">
        <v>2665291</v>
      </c>
      <c r="BC16" s="85">
        <v>2993591</v>
      </c>
      <c r="BD16" s="85">
        <v>3195239</v>
      </c>
      <c r="BE16" s="85">
        <v>3488301</v>
      </c>
      <c r="BF16" s="85">
        <v>3775501</v>
      </c>
      <c r="BG16" s="85">
        <v>3866175</v>
      </c>
    </row>
    <row r="17" spans="1:59" ht="15.75" thickBot="1" x14ac:dyDescent="0.3">
      <c r="A17" s="74" t="s">
        <v>258</v>
      </c>
      <c r="B17" s="74" t="s">
        <v>114</v>
      </c>
      <c r="C17" s="75">
        <v>1</v>
      </c>
      <c r="D17" s="75">
        <v>1</v>
      </c>
      <c r="E17" s="75">
        <v>1</v>
      </c>
      <c r="F17" s="75">
        <v>1</v>
      </c>
      <c r="G17" s="75">
        <v>1</v>
      </c>
      <c r="H17" s="75">
        <v>1</v>
      </c>
      <c r="I17" s="76">
        <v>1</v>
      </c>
      <c r="J17" s="77">
        <v>0.55000000000000004</v>
      </c>
      <c r="K17" s="77">
        <v>0.63</v>
      </c>
      <c r="L17" s="77">
        <v>0.82</v>
      </c>
      <c r="M17" s="77">
        <v>0.94</v>
      </c>
      <c r="N17" s="77">
        <v>1.07</v>
      </c>
      <c r="O17" s="77">
        <v>1.1100000000000001</v>
      </c>
      <c r="P17" s="78">
        <v>90</v>
      </c>
      <c r="Q17" s="78">
        <v>0</v>
      </c>
      <c r="R17" s="79">
        <v>90</v>
      </c>
      <c r="S17" s="79">
        <v>90</v>
      </c>
      <c r="T17" s="79">
        <v>90</v>
      </c>
      <c r="U17" s="79">
        <v>90</v>
      </c>
      <c r="V17" s="79">
        <v>90</v>
      </c>
      <c r="W17" s="79">
        <v>90</v>
      </c>
      <c r="X17" s="80">
        <v>54.98</v>
      </c>
      <c r="Y17" s="80">
        <v>63.38</v>
      </c>
      <c r="Z17" s="80">
        <v>81.99</v>
      </c>
      <c r="AA17" s="80">
        <v>94.29</v>
      </c>
      <c r="AB17" s="80">
        <v>106.7</v>
      </c>
      <c r="AC17" s="80">
        <v>111.11</v>
      </c>
      <c r="AD17" s="81">
        <v>49.48</v>
      </c>
      <c r="AE17" s="81">
        <v>57.04</v>
      </c>
      <c r="AF17" s="81">
        <v>73.790000000000006</v>
      </c>
      <c r="AG17" s="81">
        <v>84.86</v>
      </c>
      <c r="AH17" s="81">
        <v>96.03</v>
      </c>
      <c r="AI17" s="81">
        <v>100</v>
      </c>
      <c r="AJ17" s="82">
        <v>2997.16</v>
      </c>
      <c r="AK17" s="82">
        <v>3867.49</v>
      </c>
      <c r="AL17" s="82">
        <v>5005.07</v>
      </c>
      <c r="AM17" s="82">
        <v>5773.96</v>
      </c>
      <c r="AN17" s="82">
        <v>6504.79</v>
      </c>
      <c r="AO17" s="82">
        <v>6830.68</v>
      </c>
      <c r="AP17" s="83">
        <v>5451.3</v>
      </c>
      <c r="AQ17" s="83">
        <v>6102</v>
      </c>
      <c r="AR17" s="83">
        <v>6104.7</v>
      </c>
      <c r="AS17" s="83">
        <v>6123.6</v>
      </c>
      <c r="AT17" s="83">
        <v>6096.6</v>
      </c>
      <c r="AU17" s="83">
        <v>6147.9</v>
      </c>
      <c r="AV17" s="84">
        <v>6057</v>
      </c>
      <c r="AW17" s="84">
        <v>6780</v>
      </c>
      <c r="AX17" s="84">
        <v>6783</v>
      </c>
      <c r="AY17" s="84">
        <v>6804</v>
      </c>
      <c r="AZ17" s="84">
        <v>6774</v>
      </c>
      <c r="BA17" s="84">
        <v>6831</v>
      </c>
      <c r="BB17" s="85">
        <v>607103</v>
      </c>
      <c r="BC17" s="85">
        <v>829997</v>
      </c>
      <c r="BD17" s="85">
        <v>1106511</v>
      </c>
      <c r="BE17" s="85">
        <v>1312576</v>
      </c>
      <c r="BF17" s="85">
        <v>1515710</v>
      </c>
      <c r="BG17" s="85">
        <v>1620580</v>
      </c>
    </row>
    <row r="18" spans="1:59" ht="15.75" thickBot="1" x14ac:dyDescent="0.3">
      <c r="A18" s="74" t="s">
        <v>259</v>
      </c>
      <c r="B18" s="74" t="s">
        <v>94</v>
      </c>
      <c r="C18" s="75">
        <v>1</v>
      </c>
      <c r="D18" s="75">
        <v>1</v>
      </c>
      <c r="E18" s="75">
        <v>1</v>
      </c>
      <c r="F18" s="75">
        <v>1</v>
      </c>
      <c r="G18" s="75">
        <v>1</v>
      </c>
      <c r="H18" s="75">
        <v>1</v>
      </c>
      <c r="I18" s="76">
        <v>1</v>
      </c>
      <c r="J18" s="77">
        <v>0.76</v>
      </c>
      <c r="K18" s="77">
        <v>0.89</v>
      </c>
      <c r="L18" s="77">
        <v>0.87</v>
      </c>
      <c r="M18" s="77">
        <v>0.87</v>
      </c>
      <c r="N18" s="77">
        <v>0.87</v>
      </c>
      <c r="O18" s="77">
        <v>0.87</v>
      </c>
      <c r="P18" s="78">
        <v>90</v>
      </c>
      <c r="Q18" s="78">
        <v>0</v>
      </c>
      <c r="R18" s="79">
        <v>90</v>
      </c>
      <c r="S18" s="79">
        <v>90</v>
      </c>
      <c r="T18" s="79">
        <v>90</v>
      </c>
      <c r="U18" s="79">
        <v>90</v>
      </c>
      <c r="V18" s="79">
        <v>90</v>
      </c>
      <c r="W18" s="79">
        <v>90</v>
      </c>
      <c r="X18" s="80">
        <v>76.02</v>
      </c>
      <c r="Y18" s="80">
        <v>89.09</v>
      </c>
      <c r="Z18" s="80">
        <v>87.27</v>
      </c>
      <c r="AA18" s="80">
        <v>86.62</v>
      </c>
      <c r="AB18" s="80">
        <v>87.38</v>
      </c>
      <c r="AC18" s="80">
        <v>87.22</v>
      </c>
      <c r="AD18" s="81">
        <v>68.42</v>
      </c>
      <c r="AE18" s="81">
        <v>80.180000000000007</v>
      </c>
      <c r="AF18" s="81">
        <v>78.540000000000006</v>
      </c>
      <c r="AG18" s="81">
        <v>77.959999999999994</v>
      </c>
      <c r="AH18" s="81">
        <v>78.64</v>
      </c>
      <c r="AI18" s="81">
        <v>78.5</v>
      </c>
      <c r="AJ18" s="82">
        <v>1986.79</v>
      </c>
      <c r="AK18" s="82">
        <v>2436.7600000000002</v>
      </c>
      <c r="AL18" s="82">
        <v>2365.6999999999998</v>
      </c>
      <c r="AM18" s="82">
        <v>2369.21</v>
      </c>
      <c r="AN18" s="82">
        <v>2373.44</v>
      </c>
      <c r="AO18" s="82">
        <v>2378.44</v>
      </c>
      <c r="AP18" s="83">
        <v>2613.6</v>
      </c>
      <c r="AQ18" s="83">
        <v>2735.1</v>
      </c>
      <c r="AR18" s="83">
        <v>2710.8</v>
      </c>
      <c r="AS18" s="83">
        <v>2735.1</v>
      </c>
      <c r="AT18" s="83">
        <v>2716.2</v>
      </c>
      <c r="AU18" s="83">
        <v>2727</v>
      </c>
      <c r="AV18" s="84">
        <v>2904</v>
      </c>
      <c r="AW18" s="84">
        <v>3039</v>
      </c>
      <c r="AX18" s="84">
        <v>3012</v>
      </c>
      <c r="AY18" s="84">
        <v>3039</v>
      </c>
      <c r="AZ18" s="84">
        <v>3018</v>
      </c>
      <c r="BA18" s="84">
        <v>3030</v>
      </c>
      <c r="BB18" s="85">
        <v>3872332.05</v>
      </c>
      <c r="BC18" s="85">
        <v>4866792</v>
      </c>
      <c r="BD18" s="85">
        <v>4962792</v>
      </c>
      <c r="BE18" s="85">
        <v>5088792</v>
      </c>
      <c r="BF18" s="85">
        <v>5221092</v>
      </c>
      <c r="BG18" s="85">
        <v>5360008</v>
      </c>
    </row>
    <row r="19" spans="1:59" ht="15.75" thickBot="1" x14ac:dyDescent="0.3">
      <c r="A19" s="74" t="s">
        <v>260</v>
      </c>
      <c r="B19" s="74" t="s">
        <v>116</v>
      </c>
      <c r="C19" s="75">
        <v>1</v>
      </c>
      <c r="D19" s="75">
        <v>1</v>
      </c>
      <c r="E19" s="75">
        <v>1</v>
      </c>
      <c r="F19" s="75">
        <v>1</v>
      </c>
      <c r="G19" s="75">
        <v>1</v>
      </c>
      <c r="H19" s="75">
        <v>1</v>
      </c>
      <c r="I19" s="76">
        <v>1</v>
      </c>
      <c r="J19" s="77">
        <v>1.22</v>
      </c>
      <c r="K19" s="77">
        <v>1.44</v>
      </c>
      <c r="L19" s="77">
        <v>1.71</v>
      </c>
      <c r="M19" s="77">
        <v>1.96</v>
      </c>
      <c r="N19" s="77">
        <v>2.21</v>
      </c>
      <c r="O19" s="77">
        <v>2.27</v>
      </c>
      <c r="P19" s="78">
        <v>90</v>
      </c>
      <c r="Q19" s="78">
        <v>0</v>
      </c>
      <c r="R19" s="79">
        <v>90</v>
      </c>
      <c r="S19" s="79">
        <v>90</v>
      </c>
      <c r="T19" s="79">
        <v>90</v>
      </c>
      <c r="U19" s="79">
        <v>90</v>
      </c>
      <c r="V19" s="79">
        <v>90</v>
      </c>
      <c r="W19" s="79">
        <v>90</v>
      </c>
      <c r="X19" s="80">
        <v>121.99</v>
      </c>
      <c r="Y19" s="80">
        <v>143.93</v>
      </c>
      <c r="Z19" s="80">
        <v>171.28</v>
      </c>
      <c r="AA19" s="80">
        <v>196.22</v>
      </c>
      <c r="AB19" s="80">
        <v>221.3</v>
      </c>
      <c r="AC19" s="80">
        <v>227.21</v>
      </c>
      <c r="AD19" s="81">
        <v>109.79</v>
      </c>
      <c r="AE19" s="81">
        <v>129.53</v>
      </c>
      <c r="AF19" s="81">
        <v>154.16</v>
      </c>
      <c r="AG19" s="81">
        <v>176.6</v>
      </c>
      <c r="AH19" s="81">
        <v>199.17</v>
      </c>
      <c r="AI19" s="81">
        <v>204.49</v>
      </c>
      <c r="AJ19" s="82">
        <v>6650.12</v>
      </c>
      <c r="AK19" s="82">
        <v>8782.39</v>
      </c>
      <c r="AL19" s="82">
        <v>10456.370000000001</v>
      </c>
      <c r="AM19" s="82">
        <v>12015.56</v>
      </c>
      <c r="AN19" s="82">
        <v>13492.01</v>
      </c>
      <c r="AO19" s="82">
        <v>13968.5</v>
      </c>
      <c r="AP19" s="83">
        <v>5451.3</v>
      </c>
      <c r="AQ19" s="83">
        <v>6102</v>
      </c>
      <c r="AR19" s="83">
        <v>6104.7</v>
      </c>
      <c r="AS19" s="83">
        <v>6123.6</v>
      </c>
      <c r="AT19" s="83">
        <v>6096.6</v>
      </c>
      <c r="AU19" s="83">
        <v>6147.9</v>
      </c>
      <c r="AV19" s="84">
        <v>6057</v>
      </c>
      <c r="AW19" s="84">
        <v>6780</v>
      </c>
      <c r="AX19" s="84">
        <v>6783</v>
      </c>
      <c r="AY19" s="84">
        <v>6804</v>
      </c>
      <c r="AZ19" s="84">
        <v>6774</v>
      </c>
      <c r="BA19" s="84">
        <v>6831</v>
      </c>
      <c r="BB19" s="85">
        <v>1208386</v>
      </c>
      <c r="BC19" s="85">
        <v>1644367</v>
      </c>
      <c r="BD19" s="85">
        <v>2021705</v>
      </c>
      <c r="BE19" s="85">
        <v>2374301</v>
      </c>
      <c r="BF19" s="85">
        <v>2721035</v>
      </c>
      <c r="BG19" s="85">
        <v>2871242</v>
      </c>
    </row>
    <row r="20" spans="1:59" ht="15.75" thickBot="1" x14ac:dyDescent="0.3">
      <c r="A20" s="74" t="s">
        <v>261</v>
      </c>
      <c r="B20" s="74" t="s">
        <v>268</v>
      </c>
      <c r="C20" s="75">
        <v>0</v>
      </c>
      <c r="D20" s="75">
        <v>0</v>
      </c>
      <c r="E20" s="75">
        <v>0</v>
      </c>
      <c r="F20" s="75">
        <v>0</v>
      </c>
      <c r="G20" s="75">
        <v>0</v>
      </c>
      <c r="H20" s="75">
        <v>0</v>
      </c>
      <c r="I20" s="76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8">
        <v>0</v>
      </c>
      <c r="Q20" s="78">
        <v>0</v>
      </c>
      <c r="R20" s="79">
        <v>0</v>
      </c>
      <c r="S20" s="79">
        <v>0</v>
      </c>
      <c r="T20" s="79">
        <v>0</v>
      </c>
      <c r="U20" s="79">
        <v>0</v>
      </c>
      <c r="V20" s="79">
        <v>0</v>
      </c>
      <c r="W20" s="79">
        <v>0</v>
      </c>
      <c r="X20" s="80" t="s">
        <v>188</v>
      </c>
      <c r="Y20" s="80" t="s">
        <v>188</v>
      </c>
      <c r="Z20" s="80" t="s">
        <v>188</v>
      </c>
      <c r="AA20" s="80" t="s">
        <v>188</v>
      </c>
      <c r="AB20" s="80" t="s">
        <v>188</v>
      </c>
      <c r="AC20" s="80" t="s">
        <v>188</v>
      </c>
      <c r="AD20" s="81" t="s">
        <v>188</v>
      </c>
      <c r="AE20" s="81" t="s">
        <v>188</v>
      </c>
      <c r="AF20" s="81" t="s">
        <v>188</v>
      </c>
      <c r="AG20" s="81" t="s">
        <v>188</v>
      </c>
      <c r="AH20" s="81" t="s">
        <v>188</v>
      </c>
      <c r="AI20" s="81" t="s">
        <v>188</v>
      </c>
      <c r="AJ20" s="82">
        <v>1156.83</v>
      </c>
      <c r="AK20" s="82">
        <v>254.31</v>
      </c>
      <c r="AL20" s="82">
        <v>211.91</v>
      </c>
      <c r="AM20" s="82">
        <v>170.7</v>
      </c>
      <c r="AN20" s="82">
        <v>130.68</v>
      </c>
      <c r="AO20" s="82">
        <v>110.22</v>
      </c>
      <c r="AP20" s="83">
        <v>0</v>
      </c>
      <c r="AQ20" s="83">
        <v>0</v>
      </c>
      <c r="AR20" s="83">
        <v>0</v>
      </c>
      <c r="AS20" s="83">
        <v>0</v>
      </c>
      <c r="AT20" s="83">
        <v>0</v>
      </c>
      <c r="AU20" s="83">
        <v>0</v>
      </c>
      <c r="AV20" s="84">
        <v>0</v>
      </c>
      <c r="AW20" s="84">
        <v>0</v>
      </c>
      <c r="AX20" s="84">
        <v>0</v>
      </c>
      <c r="AY20" s="84">
        <v>0</v>
      </c>
      <c r="AZ20" s="84">
        <v>0</v>
      </c>
      <c r="BA20" s="84">
        <v>0</v>
      </c>
      <c r="BB20" s="85">
        <v>2776388</v>
      </c>
      <c r="BC20" s="85">
        <v>619632</v>
      </c>
      <c r="BD20" s="85">
        <v>524304</v>
      </c>
      <c r="BE20" s="85">
        <v>428976</v>
      </c>
      <c r="BF20" s="85">
        <v>333648</v>
      </c>
      <c r="BG20" s="85">
        <v>285984</v>
      </c>
    </row>
    <row r="21" spans="1:59" ht="15.75" thickBot="1" x14ac:dyDescent="0.3">
      <c r="A21" s="74" t="s">
        <v>262</v>
      </c>
      <c r="B21" s="74" t="s">
        <v>263</v>
      </c>
      <c r="C21" s="75">
        <v>0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6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8">
        <v>0</v>
      </c>
      <c r="Q21" s="78">
        <v>0</v>
      </c>
      <c r="R21" s="79">
        <v>0</v>
      </c>
      <c r="S21" s="79">
        <v>0</v>
      </c>
      <c r="T21" s="79">
        <v>0</v>
      </c>
      <c r="U21" s="79">
        <v>0</v>
      </c>
      <c r="V21" s="79">
        <v>0</v>
      </c>
      <c r="W21" s="79">
        <v>0</v>
      </c>
      <c r="X21" s="80" t="s">
        <v>188</v>
      </c>
      <c r="Y21" s="80" t="s">
        <v>188</v>
      </c>
      <c r="Z21" s="80" t="s">
        <v>188</v>
      </c>
      <c r="AA21" s="80" t="s">
        <v>188</v>
      </c>
      <c r="AB21" s="80" t="s">
        <v>188</v>
      </c>
      <c r="AC21" s="80" t="s">
        <v>188</v>
      </c>
      <c r="AD21" s="81" t="s">
        <v>188</v>
      </c>
      <c r="AE21" s="81" t="s">
        <v>188</v>
      </c>
      <c r="AF21" s="81" t="s">
        <v>188</v>
      </c>
      <c r="AG21" s="81" t="s">
        <v>188</v>
      </c>
      <c r="AH21" s="81" t="s">
        <v>188</v>
      </c>
      <c r="AI21" s="81" t="s">
        <v>188</v>
      </c>
      <c r="AJ21" s="82">
        <v>479.18</v>
      </c>
      <c r="AK21" s="82">
        <v>441</v>
      </c>
      <c r="AL21" s="82">
        <v>415.92</v>
      </c>
      <c r="AM21" s="82">
        <v>404.2</v>
      </c>
      <c r="AN21" s="82">
        <v>393.58</v>
      </c>
      <c r="AO21" s="82">
        <v>387.31</v>
      </c>
      <c r="AP21" s="83">
        <v>0</v>
      </c>
      <c r="AQ21" s="83">
        <v>0</v>
      </c>
      <c r="AR21" s="83">
        <v>0</v>
      </c>
      <c r="AS21" s="83">
        <v>0</v>
      </c>
      <c r="AT21" s="83">
        <v>0</v>
      </c>
      <c r="AU21" s="83">
        <v>0</v>
      </c>
      <c r="AV21" s="84">
        <v>0</v>
      </c>
      <c r="AW21" s="84">
        <v>0</v>
      </c>
      <c r="AX21" s="84">
        <v>0</v>
      </c>
      <c r="AY21" s="84">
        <v>0</v>
      </c>
      <c r="AZ21" s="84">
        <v>0</v>
      </c>
      <c r="BA21" s="84">
        <v>0</v>
      </c>
      <c r="BB21" s="85">
        <v>832382</v>
      </c>
      <c r="BC21" s="85">
        <v>627990</v>
      </c>
      <c r="BD21" s="85">
        <v>598549</v>
      </c>
      <c r="BE21" s="85">
        <v>589941</v>
      </c>
      <c r="BF21" s="85">
        <v>582894</v>
      </c>
      <c r="BG21" s="85">
        <v>582894</v>
      </c>
    </row>
    <row r="22" spans="1:59" ht="15.75" thickBot="1" x14ac:dyDescent="0.3">
      <c r="A22" s="74" t="s">
        <v>264</v>
      </c>
      <c r="B22" s="74" t="s">
        <v>57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6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8">
        <v>0</v>
      </c>
      <c r="Q22" s="78">
        <v>0</v>
      </c>
      <c r="R22" s="79">
        <v>0</v>
      </c>
      <c r="S22" s="79">
        <v>0</v>
      </c>
      <c r="T22" s="79">
        <v>0</v>
      </c>
      <c r="U22" s="79">
        <v>0</v>
      </c>
      <c r="V22" s="79">
        <v>0</v>
      </c>
      <c r="W22" s="79">
        <v>0</v>
      </c>
      <c r="X22" s="80" t="s">
        <v>147</v>
      </c>
      <c r="Y22" s="80" t="s">
        <v>147</v>
      </c>
      <c r="Z22" s="80" t="s">
        <v>147</v>
      </c>
      <c r="AA22" s="80" t="s">
        <v>147</v>
      </c>
      <c r="AB22" s="80" t="s">
        <v>147</v>
      </c>
      <c r="AC22" s="80" t="s">
        <v>147</v>
      </c>
      <c r="AD22" s="81" t="s">
        <v>147</v>
      </c>
      <c r="AE22" s="81" t="s">
        <v>147</v>
      </c>
      <c r="AF22" s="81" t="s">
        <v>147</v>
      </c>
      <c r="AG22" s="81" t="s">
        <v>147</v>
      </c>
      <c r="AH22" s="81" t="s">
        <v>147</v>
      </c>
      <c r="AI22" s="81" t="s">
        <v>147</v>
      </c>
      <c r="AJ22" s="82">
        <v>0</v>
      </c>
      <c r="AK22" s="82">
        <v>0</v>
      </c>
      <c r="AL22" s="82">
        <v>0</v>
      </c>
      <c r="AM22" s="82">
        <v>0</v>
      </c>
      <c r="AN22" s="82">
        <v>0</v>
      </c>
      <c r="AO22" s="82">
        <v>0</v>
      </c>
      <c r="AP22" s="83">
        <v>0</v>
      </c>
      <c r="AQ22" s="83">
        <v>0</v>
      </c>
      <c r="AR22" s="83">
        <v>0</v>
      </c>
      <c r="AS22" s="83">
        <v>0</v>
      </c>
      <c r="AT22" s="83">
        <v>0</v>
      </c>
      <c r="AU22" s="83">
        <v>0</v>
      </c>
      <c r="AV22" s="84">
        <v>0</v>
      </c>
      <c r="AW22" s="84">
        <v>0</v>
      </c>
      <c r="AX22" s="84">
        <v>0</v>
      </c>
      <c r="AY22" s="84">
        <v>0</v>
      </c>
      <c r="AZ22" s="84">
        <v>0</v>
      </c>
      <c r="BA22" s="84">
        <v>0</v>
      </c>
      <c r="BB22" s="85">
        <v>7407908.5199999996</v>
      </c>
      <c r="BC22" s="85">
        <v>6756118</v>
      </c>
      <c r="BD22" s="85">
        <v>6792118</v>
      </c>
      <c r="BE22" s="85">
        <v>6855118</v>
      </c>
      <c r="BF22" s="85">
        <v>6921268</v>
      </c>
      <c r="BG22" s="85">
        <v>6990726</v>
      </c>
    </row>
  </sheetData>
  <mergeCells count="11">
    <mergeCell ref="AD1:AI1"/>
    <mergeCell ref="AJ1:AO1"/>
    <mergeCell ref="AP1:AU1"/>
    <mergeCell ref="AV1:BA1"/>
    <mergeCell ref="BB1:BG1"/>
    <mergeCell ref="X1:AC1"/>
    <mergeCell ref="A1:B1"/>
    <mergeCell ref="C1:H1"/>
    <mergeCell ref="J1:O1"/>
    <mergeCell ref="P1:Q1"/>
    <mergeCell ref="R1:W1"/>
  </mergeCells>
  <pageMargins left="0.511811024" right="0.511811024" top="0.78740157499999996" bottom="0.78740157499999996" header="0.31496062000000002" footer="0.31496062000000002"/>
  <drawing r:id="rId1"/>
</worksheet>
</file>

<file path=docMetadata/LabelInfo.xml><?xml version="1.0" encoding="utf-8"?>
<clbl:labelList xmlns:clbl="http://schemas.microsoft.com/office/2020/mipLabelMetadata">
  <clbl:label id="{642088af-aced-4eda-a6fa-eae41649b615}" enabled="1" method="Standard" siteId="{dbc092dd-8f08-40fe-8d3f-be680e7718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1_RFQ_DadosVendas</vt:lpstr>
      <vt:lpstr>IP_WC</vt:lpstr>
      <vt:lpstr>2_LN_DadosExportados</vt:lpstr>
      <vt:lpstr>3_Industrial_Plan_Idash</vt:lpstr>
      <vt:lpstr>existencia de wc</vt:lpstr>
      <vt:lpstr>Resumo</vt:lpstr>
      <vt:lpstr>Maquinas</vt:lpstr>
      <vt:lpstr>Tambor- total Finish</vt:lpstr>
      <vt:lpstr>comp. Oster 1 e2</vt:lpstr>
      <vt:lpstr>Comp. Sacmi 1 e 2</vt:lpstr>
      <vt:lpstr>Sinter 1 e 2</vt:lpstr>
      <vt:lpstr>Snter 3</vt:lpstr>
      <vt:lpstr>comp</vt:lpstr>
      <vt:lpstr>tratamento termico</vt:lpstr>
      <vt:lpstr>Machining</vt:lpstr>
      <vt:lpstr>calibragem</vt:lpstr>
      <vt:lpstr>operações secundarias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Santos</dc:creator>
  <cp:lastModifiedBy>Kassio Ribeiro</cp:lastModifiedBy>
  <dcterms:created xsi:type="dcterms:W3CDTF">2025-07-09T19:39:16Z</dcterms:created>
  <dcterms:modified xsi:type="dcterms:W3CDTF">2026-01-28T18:52:03Z</dcterms:modified>
</cp:coreProperties>
</file>